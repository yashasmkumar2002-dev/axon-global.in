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Inventory" sheetId="1" state="visible" r:id="rId3"/>
    <sheet name="Price List" sheetId="2" state="visible" r:id="rId4"/>
  </sheets>
  <definedNames>
    <definedName function="false" hidden="true" localSheetId="0" name="_xlnm._FilterDatabase" vbProcedure="false">'Stock Inventory'!$A$6:$H$48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8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10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13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14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17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19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23" authorId="0">
      <text>
        <r>
          <rPr>
            <sz val="10"/>
            <rFont val="Arial"/>
            <family val="2"/>
          </rPr>
          <t xml:space="preserve">A 004 per invoice AL-36, but this design does not appear on the current price list at all. Worth asking Alito whether it is discontinued.</t>
        </r>
      </text>
    </comment>
    <comment ref="B24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26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32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B34" authorId="0">
      <text>
        <r>
          <rPr>
            <sz val="10"/>
            <rFont val="Arial"/>
            <family val="2"/>
          </rPr>
          <t xml:space="preserve">Not on the Alito price list. Series taken from the 2026 product catalogue, so there is no A-code and no rate for it.</t>
        </r>
      </text>
    </comment>
    <comment ref="C46" authorId="0">
      <text>
        <r>
          <rPr>
            <sz val="10"/>
            <rFont val="Arial"/>
            <family val="2"/>
          </rPr>
          <t xml:space="preserve">Negative: 2 slabs sold on Proforma 026 but never purchased on AL-36. Aqua holds 8.</t>
        </r>
      </text>
    </comment>
  </commentList>
</comments>
</file>

<file path=xl/sharedStrings.xml><?xml version="1.0" encoding="utf-8"?>
<sst xmlns="http://schemas.openxmlformats.org/spreadsheetml/2006/main" count="360" uniqueCount="116">
  <si>
    <t xml:space="preserve">AXON GLOBAL</t>
  </si>
  <si>
    <t xml:space="preserve">Alito quartz slabs — stock across three suppliers, and what has been sold</t>
  </si>
  <si>
    <t xml:space="preserve">Axon 05-Sep-26  ·  Aqua Ceramics LLP 07-Sep-26  ·  Royal 07-Sep-26  ·  series from Alito price list w.e.f. 01-Jul-26</t>
  </si>
  <si>
    <t xml:space="preserve">AXON GLOBAL — MY INVENTORY</t>
  </si>
  <si>
    <t xml:space="preserve">AQUA CERAMICS</t>
  </si>
  <si>
    <t xml:space="preserve">ROYAL</t>
  </si>
  <si>
    <t xml:space="preserve">SOLD TO CUSTOMERS</t>
  </si>
  <si>
    <t xml:space="preserve">Design Name</t>
  </si>
  <si>
    <t xml:space="preserve">Series</t>
  </si>
  <si>
    <t xml:space="preserve">Axon Global
(My Inventory)</t>
  </si>
  <si>
    <t xml:space="preserve">Aqua Ceramics
Inventory</t>
  </si>
  <si>
    <t xml:space="preserve">Royal
Inventory</t>
  </si>
  <si>
    <t xml:space="preserve">Ali Kitchen Counter Tops
Invoice 016</t>
  </si>
  <si>
    <t xml:space="preserve">M M Sai Enterprises
Proforma 026</t>
  </si>
  <si>
    <t xml:space="preserve">Sell Next From</t>
  </si>
  <si>
    <t xml:space="preserve">Alaska Cloud</t>
  </si>
  <si>
    <t xml:space="preserve">Apex</t>
  </si>
  <si>
    <t xml:space="preserve">—</t>
  </si>
  <si>
    <t xml:space="preserve">Alito Super White</t>
  </si>
  <si>
    <t xml:space="preserve">Alps Cloud</t>
  </si>
  <si>
    <t xml:space="preserve">A 006</t>
  </si>
  <si>
    <t xml:space="preserve">Amaz Grey</t>
  </si>
  <si>
    <t xml:space="preserve">Aeon</t>
  </si>
  <si>
    <t xml:space="preserve">Apollo Grey</t>
  </si>
  <si>
    <t xml:space="preserve">A 002</t>
  </si>
  <si>
    <t xml:space="preserve">Bollichino</t>
  </si>
  <si>
    <t xml:space="preserve">A 004</t>
  </si>
  <si>
    <t xml:space="preserve">Calacatta Erose</t>
  </si>
  <si>
    <t xml:space="preserve">Calacatta Gold</t>
  </si>
  <si>
    <t xml:space="preserve">Calcutta Incise</t>
  </si>
  <si>
    <t xml:space="preserve">A 008</t>
  </si>
  <si>
    <t xml:space="preserve">Carmel Opus</t>
  </si>
  <si>
    <t xml:space="preserve">Carrara King</t>
  </si>
  <si>
    <t xml:space="preserve">Cascade</t>
  </si>
  <si>
    <t xml:space="preserve">Comet</t>
  </si>
  <si>
    <t xml:space="preserve">Florence Grey</t>
  </si>
  <si>
    <t xml:space="preserve">A 003</t>
  </si>
  <si>
    <t xml:space="preserve">Florentine</t>
  </si>
  <si>
    <t xml:space="preserve">Fusion Grey</t>
  </si>
  <si>
    <t xml:space="preserve">Graphite Mist</t>
  </si>
  <si>
    <t xml:space="preserve">Grey Sonata</t>
  </si>
  <si>
    <t xml:space="preserve">Aether</t>
  </si>
  <si>
    <t xml:space="preserve">Imperial</t>
  </si>
  <si>
    <t xml:space="preserve">Jade Stone</t>
  </si>
  <si>
    <t xml:space="preserve">Accord</t>
  </si>
  <si>
    <t xml:space="preserve">Libac Venata</t>
  </si>
  <si>
    <t xml:space="preserve">ARTISTICO</t>
  </si>
  <si>
    <t xml:space="preserve">Lumina Blanco</t>
  </si>
  <si>
    <t xml:space="preserve">A 001</t>
  </si>
  <si>
    <t xml:space="preserve">Lumina Bronze</t>
  </si>
  <si>
    <t xml:space="preserve">Lumina Desert</t>
  </si>
  <si>
    <t xml:space="preserve">Lumina Grigio</t>
  </si>
  <si>
    <t xml:space="preserve">Majestic Caffine</t>
  </si>
  <si>
    <t xml:space="preserve">Metalic Grey</t>
  </si>
  <si>
    <t xml:space="preserve">Miami Grey</t>
  </si>
  <si>
    <t xml:space="preserve">Moonlight</t>
  </si>
  <si>
    <t xml:space="preserve">Nebula Crema</t>
  </si>
  <si>
    <t xml:space="preserve">Olympia</t>
  </si>
  <si>
    <t xml:space="preserve">Polar Beige</t>
  </si>
  <si>
    <t xml:space="preserve">Polar White</t>
  </si>
  <si>
    <t xml:space="preserve">Regal Aura</t>
  </si>
  <si>
    <t xml:space="preserve">Rust</t>
  </si>
  <si>
    <t xml:space="preserve">Silky Sandle</t>
  </si>
  <si>
    <t xml:space="preserve">Sunstone</t>
  </si>
  <si>
    <t xml:space="preserve">A 007</t>
  </si>
  <si>
    <t xml:space="preserve">Tuscan</t>
  </si>
  <si>
    <t xml:space="preserve">Urban Noir</t>
  </si>
  <si>
    <t xml:space="preserve">Urban Shadow</t>
  </si>
  <si>
    <t xml:space="preserve">Verona Carrara</t>
  </si>
  <si>
    <t xml:space="preserve">A 005</t>
  </si>
  <si>
    <t xml:space="preserve">White Optima</t>
  </si>
  <si>
    <t xml:space="preserve">TOTAL SLABS</t>
  </si>
  <si>
    <t xml:space="preserve">Totals at a glance</t>
  </si>
  <si>
    <t xml:space="preserve">Axon Global — my stock on hand</t>
  </si>
  <si>
    <t xml:space="preserve">Aqua Ceramics — their stock</t>
  </si>
  <si>
    <t xml:space="preserve">Royal — their stock</t>
  </si>
  <si>
    <t xml:space="preserve">Sold to Ali Kitchen Counter Tops (Inv 016)</t>
  </si>
  <si>
    <t xml:space="preserve">Sold to M M Sai Enterprises (PI 026)</t>
  </si>
  <si>
    <t xml:space="preserve">Total sold to both customers</t>
  </si>
  <si>
    <t xml:space="preserve">Notes</t>
  </si>
  <si>
    <t xml:space="preserve">• Series codes are from the Alito Stockiest Price List w.e.f. 01-Jul-2026.</t>
  </si>
  <si>
    <t xml:space="preserve">• Amber series cells are not on that price list — series taken from the 2026 catalogue,</t>
  </si>
  <si>
    <t xml:space="preserve">    so they carry no A-code and no rate. Graphite Mist is on invoice AL-36 as A 004 but</t>
  </si>
  <si>
    <t xml:space="preserve">    is missing from the price list entirely — worth asking Alito if it is discontinued.</t>
  </si>
  <si>
    <t xml:space="preserve">• '—' means the design is not on that company's list at all, which is not the same as zero.</t>
  </si>
  <si>
    <t xml:space="preserve">• Customer columns are slabs already sold, not stock. They are not deducted here —</t>
  </si>
  <si>
    <t xml:space="preserve">    the Axon column is already net of both invoices.</t>
  </si>
  <si>
    <t xml:space="preserve">• Aqua lists Moon Light; shown as Moonlight to match the price list. Same design.</t>
  </si>
  <si>
    <t xml:space="preserve">• Aqua shows two part-slabs: Polar White 6.99 and Sunstone 3.99. Left as reported.</t>
  </si>
  <si>
    <t xml:space="preserve">• Price list spells it Carmel Opus; the product catalogue spells it Caramel Opus.</t>
  </si>
  <si>
    <t xml:space="preserve">• Urban Shadow is negative — sold 2, never purchased. Aqua holds 8. Worth confirming.</t>
  </si>
  <si>
    <t xml:space="preserve">ALITO HYBRID SURFACES — STOCKIEST PRICE LIST</t>
  </si>
  <si>
    <t xml:space="preserve">PL / Alito / FY 26-27 · w.e.f. 01/July/26 · Ex-warehouse Bangalore</t>
  </si>
  <si>
    <t xml:space="preserve">Slab 3200x1600 mm · 20 mm · 55.11 sq.ft per slab · 250 kg per slab (±5%)</t>
  </si>
  <si>
    <t xml:space="preserve">GST 18% and insurance 1% extra. Freight, loading and unloading extra at actual.</t>
  </si>
  <si>
    <t xml:space="preserve">Rate / Sq.Ft</t>
  </si>
  <si>
    <t xml:space="preserve">Rate / Slab
(55.11 sq.ft)</t>
  </si>
  <si>
    <t xml:space="preserve">Do I stock it?</t>
  </si>
  <si>
    <t xml:space="preserve">Yes — 2</t>
  </si>
  <si>
    <t xml:space="preserve">Yes — 5</t>
  </si>
  <si>
    <t xml:space="preserve">Yes — 7</t>
  </si>
  <si>
    <t xml:space="preserve">Yes — 8</t>
  </si>
  <si>
    <t xml:space="preserve">No</t>
  </si>
  <si>
    <t xml:space="preserve">Yes — 3</t>
  </si>
  <si>
    <t xml:space="preserve">Babylone Grey</t>
  </si>
  <si>
    <t xml:space="preserve">Out of stock</t>
  </si>
  <si>
    <t xml:space="preserve">Honeywood</t>
  </si>
  <si>
    <t xml:space="preserve">Yes — 10</t>
  </si>
  <si>
    <t xml:space="preserve">Yes — 1</t>
  </si>
  <si>
    <t xml:space="preserve">Autumn Blush</t>
  </si>
  <si>
    <t xml:space="preserve">Metalic Brown</t>
  </si>
  <si>
    <t xml:space="preserve">Metalic Silk</t>
  </si>
  <si>
    <t xml:space="preserve">Pearl Veneza</t>
  </si>
  <si>
    <t xml:space="preserve">Roso Aurora</t>
  </si>
  <si>
    <t xml:space="preserve">Verde Toscano</t>
  </si>
  <si>
    <t xml:space="preserve">Designs above that nobody stocks are still orderable from Alito.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</si>
</sst>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37"/>
      <name val="Arial"/>
      <family val="0"/>
      <charset val="1"/>
    </font>
    <font>
      <sz val="10"/>
      <color rgb="FF6B6B6B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2A37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4A4A4A"/>
      <name val="Arial"/>
      <family val="0"/>
      <charset val="1"/>
    </font>
    <font>
      <sz val="10"/>
      <name val="Arial"/>
      <family val="2"/>
    </font>
    <font>
      <b val="true"/>
      <sz val="13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7A44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9A6B00"/>
      <name val="Arial"/>
      <family val="0"/>
      <charset val="1"/>
    </font>
    <font>
      <i val="true"/>
      <sz val="9"/>
      <color rgb="FF6B6B6B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2A37"/>
        <bgColor rgb="FF003300"/>
      </patternFill>
    </fill>
    <fill>
      <patternFill patternType="solid">
        <fgColor rgb="FF2C5F7C"/>
        <bgColor rgb="FF4A4A4A"/>
      </patternFill>
    </fill>
    <fill>
      <patternFill patternType="solid">
        <fgColor rgb="FF6B4E2E"/>
        <bgColor rgb="FF5A4A2A"/>
      </patternFill>
    </fill>
    <fill>
      <patternFill patternType="solid">
        <fgColor rgb="FF5B4472"/>
        <bgColor rgb="FF4A4A4A"/>
      </patternFill>
    </fill>
    <fill>
      <patternFill patternType="solid">
        <fgColor rgb="FFC8B89A"/>
        <bgColor rgb="FFBFBFBF"/>
      </patternFill>
    </fill>
    <fill>
      <patternFill patternType="solid">
        <fgColor rgb="FF5A4A2A"/>
        <bgColor rgb="FF6B4E2E"/>
      </patternFill>
    </fill>
    <fill>
      <patternFill patternType="solid">
        <fgColor rgb="FFFFF4D6"/>
        <bgColor rgb="FFF7F1E8"/>
      </patternFill>
    </fill>
    <fill>
      <patternFill patternType="solid">
        <fgColor rgb="FFEEF4F8"/>
        <bgColor rgb="FFF3EFF7"/>
      </patternFill>
    </fill>
    <fill>
      <patternFill patternType="solid">
        <fgColor rgb="FFF7F1E8"/>
        <bgColor rgb="FFF3EFF7"/>
      </patternFill>
    </fill>
    <fill>
      <patternFill patternType="solid">
        <fgColor rgb="FFF3EFF7"/>
        <bgColor rgb="FFEEF4F8"/>
      </patternFill>
    </fill>
    <fill>
      <patternFill patternType="solid">
        <fgColor rgb="FFE4EEF5"/>
        <bgColor rgb="FFE8F1E8"/>
      </patternFill>
    </fill>
    <fill>
      <patternFill patternType="solid">
        <fgColor rgb="FFE8F1E8"/>
        <bgColor rgb="FFE4EEF5"/>
      </patternFill>
    </fill>
    <fill>
      <patternFill patternType="solid">
        <fgColor rgb="FFF5EADA"/>
        <bgColor rgb="FFF7F1E8"/>
      </patternFill>
    </fill>
    <fill>
      <patternFill patternType="solid">
        <fgColor rgb="FFFFD5D5"/>
        <bgColor rgb="FFF5EAD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C5F7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6B4E2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5B4472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2A37"/>
          <bgColor rgb="FF000000"/>
        </patternFill>
      </fill>
    </dxf>
    <dxf>
      <fill>
        <patternFill patternType="solid">
          <fgColor rgb="FFFFD5D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2C5F7C"/>
          <bgColor rgb="FF000000"/>
        </patternFill>
      </fill>
    </dxf>
    <dxf>
      <fill>
        <patternFill patternType="solid">
          <fgColor rgb="FFEEF4F8"/>
          <bgColor rgb="FF000000"/>
        </patternFill>
      </fill>
    </dxf>
    <dxf>
      <fill>
        <patternFill patternType="solid">
          <fgColor rgb="FF6B4E2E"/>
          <bgColor rgb="FF000000"/>
        </patternFill>
      </fill>
    </dxf>
    <dxf>
      <fill>
        <patternFill patternType="solid">
          <fgColor rgb="FFF7F1E8"/>
          <bgColor rgb="FF000000"/>
        </patternFill>
      </fill>
    </dxf>
    <dxf>
      <fill>
        <patternFill patternType="solid">
          <fgColor rgb="FF5B4472"/>
          <bgColor rgb="FF000000"/>
        </patternFill>
      </fill>
    </dxf>
    <dxf>
      <fill>
        <patternFill patternType="solid">
          <fgColor rgb="FFF3EFF7"/>
          <bgColor rgb="FF000000"/>
        </patternFill>
      </fill>
    </dxf>
    <dxf>
      <fill>
        <patternFill patternType="solid">
          <fgColor rgb="FF5A4A2A"/>
          <bgColor rgb="FF000000"/>
        </patternFill>
      </fill>
    </dxf>
    <dxf>
      <fill>
        <patternFill patternType="solid">
          <fgColor rgb="FFE4EEF5"/>
          <bgColor rgb="FF000000"/>
        </patternFill>
      </fill>
    </dxf>
    <dxf>
      <fill>
        <patternFill patternType="solid">
          <fgColor rgb="FFE8F1E8"/>
          <bgColor rgb="FF000000"/>
        </patternFill>
      </fill>
    </dxf>
    <dxf>
      <fill>
        <patternFill patternType="solid">
          <fgColor rgb="FFF5EA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0"/>
      <rgbColor rgb="FF800080"/>
      <rgbColor rgb="FF1F7A44"/>
      <rgbColor rgb="FFBFBFBF"/>
      <rgbColor rgb="FF888888"/>
      <rgbColor rgb="FF9999FF"/>
      <rgbColor rgb="FF993366"/>
      <rgbColor rgb="FFFFF4D6"/>
      <rgbColor rgb="FFE4EEF5"/>
      <rgbColor rgb="FF660066"/>
      <rgbColor rgb="FFFF8080"/>
      <rgbColor rgb="FF0066CC"/>
      <rgbColor rgb="FFF3EFF7"/>
      <rgbColor rgb="FF000080"/>
      <rgbColor rgb="FFFF00FF"/>
      <rgbColor rgb="FFFFFF00"/>
      <rgbColor rgb="FF00FFFF"/>
      <rgbColor rgb="FF800080"/>
      <rgbColor rgb="FF800000"/>
      <rgbColor rgb="FF2C5F7C"/>
      <rgbColor rgb="FF0000FF"/>
      <rgbColor rgb="FF00CCFF"/>
      <rgbColor rgb="FFE8F1E8"/>
      <rgbColor rgb="FFEEF4F8"/>
      <rgbColor rgb="FFF5EADA"/>
      <rgbColor rgb="FFF7F1E8"/>
      <rgbColor rgb="FFFF99CC"/>
      <rgbColor rgb="FFC8B89A"/>
      <rgbColor rgb="FFFFD5D5"/>
      <rgbColor rgb="FF3366FF"/>
      <rgbColor rgb="FF33CCCC"/>
      <rgbColor rgb="FF99CC00"/>
      <rgbColor rgb="FFFFCC00"/>
      <rgbColor rgb="FFFF9900"/>
      <rgbColor rgb="FFFF6600"/>
      <rgbColor rgb="FF6B6B6B"/>
      <rgbColor rgb="FF8A8A8A"/>
      <rgbColor rgb="FF4A4A4A"/>
      <rgbColor rgb="FF339966"/>
      <rgbColor rgb="FF003300"/>
      <rgbColor rgb="FF5A4A2A"/>
      <rgbColor rgb="FF6B4E2E"/>
      <rgbColor rgb="FF993366"/>
      <rgbColor rgb="FF5B4472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20"/>
    <col collapsed="false" customWidth="true" hidden="false" outlineLevel="0" max="8" min="8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/>
      <c r="B5" s="4"/>
      <c r="C5" s="5" t="s">
        <v>3</v>
      </c>
      <c r="D5" s="6" t="s">
        <v>4</v>
      </c>
      <c r="E5" s="7" t="s">
        <v>5</v>
      </c>
      <c r="F5" s="8" t="s">
        <v>6</v>
      </c>
      <c r="G5" s="8"/>
      <c r="H5" s="9"/>
    </row>
    <row r="6" customFormat="false" ht="39.75" hidden="false" customHeight="true" outlineLevel="0" collapsed="false">
      <c r="A6" s="10" t="s">
        <v>7</v>
      </c>
      <c r="B6" s="10" t="s">
        <v>8</v>
      </c>
      <c r="C6" s="10" t="s">
        <v>9</v>
      </c>
      <c r="D6" s="11" t="s">
        <v>10</v>
      </c>
      <c r="E6" s="12" t="s">
        <v>11</v>
      </c>
      <c r="F6" s="13" t="s">
        <v>12</v>
      </c>
      <c r="G6" s="13" t="s">
        <v>13</v>
      </c>
      <c r="H6" s="14" t="s">
        <v>14</v>
      </c>
    </row>
    <row r="7" customFormat="false" ht="15" hidden="false" customHeight="false" outlineLevel="0" collapsed="false">
      <c r="A7" s="15" t="s">
        <v>15</v>
      </c>
      <c r="B7" s="16" t="s">
        <v>16</v>
      </c>
      <c r="C7" s="17" t="s">
        <v>17</v>
      </c>
      <c r="D7" s="18" t="n">
        <v>2</v>
      </c>
      <c r="E7" s="19" t="s">
        <v>17</v>
      </c>
      <c r="F7" s="20" t="s">
        <v>17</v>
      </c>
      <c r="G7" s="21" t="s">
        <v>17</v>
      </c>
      <c r="H7" s="22" t="str">
        <f aca="false">IF(IF(ISNUMBER(C7),C7,0)&gt;0,"Axon Global",IF(MAX(IF(ISNUMBER(D7),D7,0),IF(ISNUMBER(E7),E7,0))=0,"Order in",IF(IF(ISNUMBER(D7),D7,0)&gt;=IF(ISNUMBER(E7),E7,0),"Aqua Ceramics","Royal")))</f>
        <v>Aqua Ceramics</v>
      </c>
    </row>
    <row r="8" customFormat="false" ht="15" hidden="false" customHeight="false" outlineLevel="0" collapsed="false">
      <c r="A8" s="15" t="s">
        <v>18</v>
      </c>
      <c r="B8" s="16" t="s">
        <v>16</v>
      </c>
      <c r="C8" s="17" t="s">
        <v>17</v>
      </c>
      <c r="D8" s="18" t="n">
        <v>2</v>
      </c>
      <c r="E8" s="19" t="s">
        <v>17</v>
      </c>
      <c r="F8" s="20" t="s">
        <v>17</v>
      </c>
      <c r="G8" s="21" t="s">
        <v>17</v>
      </c>
      <c r="H8" s="22" t="str">
        <f aca="false">IF(IF(ISNUMBER(C8),C8,0)&gt;0,"Axon Global",IF(MAX(IF(ISNUMBER(D8),D8,0),IF(ISNUMBER(E8),E8,0))=0,"Order in",IF(IF(ISNUMBER(D8),D8,0)&gt;=IF(ISNUMBER(E8),E8,0),"Aqua Ceramics","Royal")))</f>
        <v>Aqua Ceramics</v>
      </c>
    </row>
    <row r="9" customFormat="false" ht="15" hidden="false" customHeight="false" outlineLevel="0" collapsed="false">
      <c r="A9" s="15" t="s">
        <v>19</v>
      </c>
      <c r="B9" s="23" t="s">
        <v>20</v>
      </c>
      <c r="C9" s="17" t="n">
        <v>5</v>
      </c>
      <c r="D9" s="18" t="n">
        <v>6</v>
      </c>
      <c r="E9" s="19" t="s">
        <v>17</v>
      </c>
      <c r="F9" s="20" t="s">
        <v>17</v>
      </c>
      <c r="G9" s="21" t="s">
        <v>17</v>
      </c>
      <c r="H9" s="24" t="str">
        <f aca="false">IF(IF(ISNUMBER(C9),C9,0)&gt;0,"Axon Global",IF(MAX(IF(ISNUMBER(D9),D9,0),IF(ISNUMBER(E9),E9,0))=0,"Order in",IF(IF(ISNUMBER(D9),D9,0)&gt;=IF(ISNUMBER(E9),E9,0),"Aqua Ceramics","Royal")))</f>
        <v>Axon Global</v>
      </c>
    </row>
    <row r="10" customFormat="false" ht="15" hidden="false" customHeight="false" outlineLevel="0" collapsed="false">
      <c r="A10" s="15" t="s">
        <v>21</v>
      </c>
      <c r="B10" s="16" t="s">
        <v>22</v>
      </c>
      <c r="C10" s="17" t="s">
        <v>17</v>
      </c>
      <c r="D10" s="18" t="n">
        <v>3</v>
      </c>
      <c r="E10" s="19" t="s">
        <v>17</v>
      </c>
      <c r="F10" s="20" t="s">
        <v>17</v>
      </c>
      <c r="G10" s="21" t="s">
        <v>17</v>
      </c>
      <c r="H10" s="22" t="str">
        <f aca="false">IF(IF(ISNUMBER(C10),C10,0)&gt;0,"Axon Global",IF(MAX(IF(ISNUMBER(D10),D10,0),IF(ISNUMBER(E10),E10,0))=0,"Order in",IF(IF(ISNUMBER(D10),D10,0)&gt;=IF(ISNUMBER(E10),E10,0),"Aqua Ceramics","Royal")))</f>
        <v>Aqua Ceramics</v>
      </c>
    </row>
    <row r="11" customFormat="false" ht="15" hidden="false" customHeight="false" outlineLevel="0" collapsed="false">
      <c r="A11" s="15" t="s">
        <v>23</v>
      </c>
      <c r="B11" s="23" t="s">
        <v>24</v>
      </c>
      <c r="C11" s="17" t="s">
        <v>17</v>
      </c>
      <c r="D11" s="18" t="s">
        <v>17</v>
      </c>
      <c r="E11" s="19" t="n">
        <v>10</v>
      </c>
      <c r="F11" s="20" t="s">
        <v>17</v>
      </c>
      <c r="G11" s="21" t="s">
        <v>17</v>
      </c>
      <c r="H11" s="25" t="str">
        <f aca="false">IF(IF(ISNUMBER(C11),C11,0)&gt;0,"Axon Global",IF(MAX(IF(ISNUMBER(D11),D11,0),IF(ISNUMBER(E11),E11,0))=0,"Order in",IF(IF(ISNUMBER(D11),D11,0)&gt;=IF(ISNUMBER(E11),E11,0),"Aqua Ceramics","Royal")))</f>
        <v>Royal</v>
      </c>
    </row>
    <row r="12" customFormat="false" ht="15" hidden="false" customHeight="false" outlineLevel="0" collapsed="false">
      <c r="A12" s="15" t="s">
        <v>25</v>
      </c>
      <c r="B12" s="23" t="s">
        <v>26</v>
      </c>
      <c r="C12" s="17" t="n">
        <v>3</v>
      </c>
      <c r="D12" s="18" t="n">
        <v>3</v>
      </c>
      <c r="E12" s="19" t="s">
        <v>17</v>
      </c>
      <c r="F12" s="20" t="n">
        <v>2</v>
      </c>
      <c r="G12" s="21" t="s">
        <v>17</v>
      </c>
      <c r="H12" s="24" t="str">
        <f aca="false">IF(IF(ISNUMBER(C12),C12,0)&gt;0,"Axon Global",IF(MAX(IF(ISNUMBER(D12),D12,0),IF(ISNUMBER(E12),E12,0))=0,"Order in",IF(IF(ISNUMBER(D12),D12,0)&gt;=IF(ISNUMBER(E12),E12,0),"Aqua Ceramics","Royal")))</f>
        <v>Axon Global</v>
      </c>
    </row>
    <row r="13" customFormat="false" ht="15" hidden="false" customHeight="false" outlineLevel="0" collapsed="false">
      <c r="A13" s="15" t="s">
        <v>27</v>
      </c>
      <c r="B13" s="16" t="s">
        <v>16</v>
      </c>
      <c r="C13" s="17" t="s">
        <v>17</v>
      </c>
      <c r="D13" s="18" t="n">
        <v>3</v>
      </c>
      <c r="E13" s="19" t="s">
        <v>17</v>
      </c>
      <c r="F13" s="20" t="s">
        <v>17</v>
      </c>
      <c r="G13" s="21" t="s">
        <v>17</v>
      </c>
      <c r="H13" s="22" t="str">
        <f aca="false">IF(IF(ISNUMBER(C13),C13,0)&gt;0,"Axon Global",IF(MAX(IF(ISNUMBER(D13),D13,0),IF(ISNUMBER(E13),E13,0))=0,"Order in",IF(IF(ISNUMBER(D13),D13,0)&gt;=IF(ISNUMBER(E13),E13,0),"Aqua Ceramics","Royal")))</f>
        <v>Aqua Ceramics</v>
      </c>
    </row>
    <row r="14" customFormat="false" ht="15" hidden="false" customHeight="false" outlineLevel="0" collapsed="false">
      <c r="A14" s="15" t="s">
        <v>28</v>
      </c>
      <c r="B14" s="16" t="s">
        <v>16</v>
      </c>
      <c r="C14" s="17" t="s">
        <v>17</v>
      </c>
      <c r="D14" s="18" t="n">
        <v>2</v>
      </c>
      <c r="E14" s="19" t="s">
        <v>17</v>
      </c>
      <c r="F14" s="20" t="s">
        <v>17</v>
      </c>
      <c r="G14" s="21" t="s">
        <v>17</v>
      </c>
      <c r="H14" s="22" t="str">
        <f aca="false">IF(IF(ISNUMBER(C14),C14,0)&gt;0,"Axon Global",IF(MAX(IF(ISNUMBER(D14),D14,0),IF(ISNUMBER(E14),E14,0))=0,"Order in",IF(IF(ISNUMBER(D14),D14,0)&gt;=IF(ISNUMBER(E14),E14,0),"Aqua Ceramics","Royal")))</f>
        <v>Aqua Ceramics</v>
      </c>
    </row>
    <row r="15" customFormat="false" ht="15" hidden="false" customHeight="false" outlineLevel="0" collapsed="false">
      <c r="A15" s="15" t="s">
        <v>29</v>
      </c>
      <c r="B15" s="23" t="s">
        <v>30</v>
      </c>
      <c r="C15" s="17" t="n">
        <v>8</v>
      </c>
      <c r="D15" s="18" t="s">
        <v>17</v>
      </c>
      <c r="E15" s="19" t="s">
        <v>17</v>
      </c>
      <c r="F15" s="20" t="n">
        <v>2</v>
      </c>
      <c r="G15" s="21" t="s">
        <v>17</v>
      </c>
      <c r="H15" s="24" t="str">
        <f aca="false">IF(IF(ISNUMBER(C15),C15,0)&gt;0,"Axon Global",IF(MAX(IF(ISNUMBER(D15),D15,0),IF(ISNUMBER(E15),E15,0))=0,"Order in",IF(IF(ISNUMBER(D15),D15,0)&gt;=IF(ISNUMBER(E15),E15,0),"Aqua Ceramics","Royal")))</f>
        <v>Axon Global</v>
      </c>
    </row>
    <row r="16" customFormat="false" ht="15" hidden="false" customHeight="false" outlineLevel="0" collapsed="false">
      <c r="A16" s="15" t="s">
        <v>31</v>
      </c>
      <c r="B16" s="23" t="s">
        <v>24</v>
      </c>
      <c r="C16" s="17" t="s">
        <v>17</v>
      </c>
      <c r="D16" s="18" t="s">
        <v>17</v>
      </c>
      <c r="E16" s="19" t="n">
        <v>6</v>
      </c>
      <c r="F16" s="20" t="s">
        <v>17</v>
      </c>
      <c r="G16" s="21" t="s">
        <v>17</v>
      </c>
      <c r="H16" s="25" t="str">
        <f aca="false">IF(IF(ISNUMBER(C16),C16,0)&gt;0,"Axon Global",IF(MAX(IF(ISNUMBER(D16),D16,0),IF(ISNUMBER(E16),E16,0))=0,"Order in",IF(IF(ISNUMBER(D16),D16,0)&gt;=IF(ISNUMBER(E16),E16,0),"Aqua Ceramics","Royal")))</f>
        <v>Royal</v>
      </c>
    </row>
    <row r="17" customFormat="false" ht="15" hidden="false" customHeight="false" outlineLevel="0" collapsed="false">
      <c r="A17" s="15" t="s">
        <v>32</v>
      </c>
      <c r="B17" s="16" t="s">
        <v>16</v>
      </c>
      <c r="C17" s="17" t="s">
        <v>17</v>
      </c>
      <c r="D17" s="18" t="n">
        <v>3</v>
      </c>
      <c r="E17" s="19" t="s">
        <v>17</v>
      </c>
      <c r="F17" s="20" t="s">
        <v>17</v>
      </c>
      <c r="G17" s="21" t="s">
        <v>17</v>
      </c>
      <c r="H17" s="22" t="str">
        <f aca="false">IF(IF(ISNUMBER(C17),C17,0)&gt;0,"Axon Global",IF(MAX(IF(ISNUMBER(D17),D17,0),IF(ISNUMBER(E17),E17,0))=0,"Order in",IF(IF(ISNUMBER(D17),D17,0)&gt;=IF(ISNUMBER(E17),E17,0),"Aqua Ceramics","Royal")))</f>
        <v>Aqua Ceramics</v>
      </c>
    </row>
    <row r="18" customFormat="false" ht="15" hidden="false" customHeight="false" outlineLevel="0" collapsed="false">
      <c r="A18" s="15" t="s">
        <v>33</v>
      </c>
      <c r="B18" s="23" t="s">
        <v>26</v>
      </c>
      <c r="C18" s="17" t="n">
        <v>10</v>
      </c>
      <c r="D18" s="18" t="n">
        <v>3</v>
      </c>
      <c r="E18" s="19" t="n">
        <v>6</v>
      </c>
      <c r="F18" s="20" t="s">
        <v>17</v>
      </c>
      <c r="G18" s="21" t="s">
        <v>17</v>
      </c>
      <c r="H18" s="24" t="str">
        <f aca="false">IF(IF(ISNUMBER(C18),C18,0)&gt;0,"Axon Global",IF(MAX(IF(ISNUMBER(D18),D18,0),IF(ISNUMBER(E18),E18,0))=0,"Order in",IF(IF(ISNUMBER(D18),D18,0)&gt;=IF(ISNUMBER(E18),E18,0),"Aqua Ceramics","Royal")))</f>
        <v>Axon Global</v>
      </c>
    </row>
    <row r="19" customFormat="false" ht="15" hidden="false" customHeight="false" outlineLevel="0" collapsed="false">
      <c r="A19" s="15" t="s">
        <v>34</v>
      </c>
      <c r="B19" s="16" t="s">
        <v>16</v>
      </c>
      <c r="C19" s="17" t="s">
        <v>17</v>
      </c>
      <c r="D19" s="18" t="n">
        <v>3</v>
      </c>
      <c r="E19" s="19" t="s">
        <v>17</v>
      </c>
      <c r="F19" s="20" t="s">
        <v>17</v>
      </c>
      <c r="G19" s="21" t="s">
        <v>17</v>
      </c>
      <c r="H19" s="22" t="str">
        <f aca="false">IF(IF(ISNUMBER(C19),C19,0)&gt;0,"Axon Global",IF(MAX(IF(ISNUMBER(D19),D19,0),IF(ISNUMBER(E19),E19,0))=0,"Order in",IF(IF(ISNUMBER(D19),D19,0)&gt;=IF(ISNUMBER(E19),E19,0),"Aqua Ceramics","Royal")))</f>
        <v>Aqua Ceramics</v>
      </c>
    </row>
    <row r="20" customFormat="false" ht="15" hidden="false" customHeight="false" outlineLevel="0" collapsed="false">
      <c r="A20" s="15" t="s">
        <v>35</v>
      </c>
      <c r="B20" s="23" t="s">
        <v>36</v>
      </c>
      <c r="C20" s="17" t="s">
        <v>17</v>
      </c>
      <c r="D20" s="18" t="n">
        <v>1</v>
      </c>
      <c r="E20" s="19" t="n">
        <v>15</v>
      </c>
      <c r="F20" s="20" t="s">
        <v>17</v>
      </c>
      <c r="G20" s="21" t="s">
        <v>17</v>
      </c>
      <c r="H20" s="25" t="str">
        <f aca="false">IF(IF(ISNUMBER(C20),C20,0)&gt;0,"Axon Global",IF(MAX(IF(ISNUMBER(D20),D20,0),IF(ISNUMBER(E20),E20,0))=0,"Order in",IF(IF(ISNUMBER(D20),D20,0)&gt;=IF(ISNUMBER(E20),E20,0),"Aqua Ceramics","Royal")))</f>
        <v>Royal</v>
      </c>
    </row>
    <row r="21" customFormat="false" ht="15" hidden="false" customHeight="false" outlineLevel="0" collapsed="false">
      <c r="A21" s="15" t="s">
        <v>37</v>
      </c>
      <c r="B21" s="23" t="s">
        <v>30</v>
      </c>
      <c r="C21" s="17" t="s">
        <v>17</v>
      </c>
      <c r="D21" s="18" t="n">
        <v>1</v>
      </c>
      <c r="E21" s="19" t="n">
        <v>8</v>
      </c>
      <c r="F21" s="20" t="s">
        <v>17</v>
      </c>
      <c r="G21" s="21" t="s">
        <v>17</v>
      </c>
      <c r="H21" s="25" t="str">
        <f aca="false">IF(IF(ISNUMBER(C21),C21,0)&gt;0,"Axon Global",IF(MAX(IF(ISNUMBER(D21),D21,0),IF(ISNUMBER(E21),E21,0))=0,"Order in",IF(IF(ISNUMBER(D21),D21,0)&gt;=IF(ISNUMBER(E21),E21,0),"Aqua Ceramics","Royal")))</f>
        <v>Royal</v>
      </c>
    </row>
    <row r="22" customFormat="false" ht="15" hidden="false" customHeight="false" outlineLevel="0" collapsed="false">
      <c r="A22" s="15" t="s">
        <v>38</v>
      </c>
      <c r="B22" s="23" t="s">
        <v>26</v>
      </c>
      <c r="C22" s="17" t="n">
        <v>5</v>
      </c>
      <c r="D22" s="18" t="n">
        <v>4</v>
      </c>
      <c r="E22" s="19" t="s">
        <v>17</v>
      </c>
      <c r="F22" s="20" t="s">
        <v>17</v>
      </c>
      <c r="G22" s="21" t="s">
        <v>17</v>
      </c>
      <c r="H22" s="24" t="str">
        <f aca="false">IF(IF(ISNUMBER(C22),C22,0)&gt;0,"Axon Global",IF(MAX(IF(ISNUMBER(D22),D22,0),IF(ISNUMBER(E22),E22,0))=0,"Order in",IF(IF(ISNUMBER(D22),D22,0)&gt;=IF(ISNUMBER(E22),E22,0),"Aqua Ceramics","Royal")))</f>
        <v>Axon Global</v>
      </c>
    </row>
    <row r="23" customFormat="false" ht="15" hidden="false" customHeight="false" outlineLevel="0" collapsed="false">
      <c r="A23" s="15" t="s">
        <v>39</v>
      </c>
      <c r="B23" s="16" t="s">
        <v>26</v>
      </c>
      <c r="C23" s="17" t="n">
        <v>5</v>
      </c>
      <c r="D23" s="18" t="n">
        <v>4</v>
      </c>
      <c r="E23" s="19" t="s">
        <v>17</v>
      </c>
      <c r="F23" s="20" t="s">
        <v>17</v>
      </c>
      <c r="G23" s="21" t="s">
        <v>17</v>
      </c>
      <c r="H23" s="24" t="str">
        <f aca="false">IF(IF(ISNUMBER(C23),C23,0)&gt;0,"Axon Global",IF(MAX(IF(ISNUMBER(D23),D23,0),IF(ISNUMBER(E23),E23,0))=0,"Order in",IF(IF(ISNUMBER(D23),D23,0)&gt;=IF(ISNUMBER(E23),E23,0),"Aqua Ceramics","Royal")))</f>
        <v>Axon Global</v>
      </c>
    </row>
    <row r="24" customFormat="false" ht="15" hidden="false" customHeight="false" outlineLevel="0" collapsed="false">
      <c r="A24" s="15" t="s">
        <v>40</v>
      </c>
      <c r="B24" s="16" t="s">
        <v>41</v>
      </c>
      <c r="C24" s="17" t="s">
        <v>17</v>
      </c>
      <c r="D24" s="18" t="n">
        <v>2</v>
      </c>
      <c r="E24" s="19" t="s">
        <v>17</v>
      </c>
      <c r="F24" s="20" t="s">
        <v>17</v>
      </c>
      <c r="G24" s="21" t="s">
        <v>17</v>
      </c>
      <c r="H24" s="22" t="str">
        <f aca="false">IF(IF(ISNUMBER(C24),C24,0)&gt;0,"Axon Global",IF(MAX(IF(ISNUMBER(D24),D24,0),IF(ISNUMBER(E24),E24,0))=0,"Order in",IF(IF(ISNUMBER(D24),D24,0)&gt;=IF(ISNUMBER(E24),E24,0),"Aqua Ceramics","Royal")))</f>
        <v>Aqua Ceramics</v>
      </c>
    </row>
    <row r="25" customFormat="false" ht="15" hidden="false" customHeight="false" outlineLevel="0" collapsed="false">
      <c r="A25" s="15" t="s">
        <v>42</v>
      </c>
      <c r="B25" s="23" t="s">
        <v>36</v>
      </c>
      <c r="C25" s="17" t="n">
        <v>0</v>
      </c>
      <c r="D25" s="18" t="n">
        <v>4</v>
      </c>
      <c r="E25" s="19" t="s">
        <v>17</v>
      </c>
      <c r="F25" s="20" t="n">
        <v>2</v>
      </c>
      <c r="G25" s="21" t="n">
        <v>3</v>
      </c>
      <c r="H25" s="22" t="str">
        <f aca="false">IF(IF(ISNUMBER(C25),C25,0)&gt;0,"Axon Global",IF(MAX(IF(ISNUMBER(D25),D25,0),IF(ISNUMBER(E25),E25,0))=0,"Order in",IF(IF(ISNUMBER(D25),D25,0)&gt;=IF(ISNUMBER(E25),E25,0),"Aqua Ceramics","Royal")))</f>
        <v>Aqua Ceramics</v>
      </c>
    </row>
    <row r="26" customFormat="false" ht="15" hidden="false" customHeight="false" outlineLevel="0" collapsed="false">
      <c r="A26" s="15" t="s">
        <v>43</v>
      </c>
      <c r="B26" s="16" t="s">
        <v>44</v>
      </c>
      <c r="C26" s="17" t="s">
        <v>17</v>
      </c>
      <c r="D26" s="18" t="n">
        <v>4</v>
      </c>
      <c r="E26" s="19" t="n">
        <v>7</v>
      </c>
      <c r="F26" s="20" t="s">
        <v>17</v>
      </c>
      <c r="G26" s="21" t="s">
        <v>17</v>
      </c>
      <c r="H26" s="25" t="str">
        <f aca="false">IF(IF(ISNUMBER(C26),C26,0)&gt;0,"Axon Global",IF(MAX(IF(ISNUMBER(D26),D26,0),IF(ISNUMBER(E26),E26,0))=0,"Order in",IF(IF(ISNUMBER(D26),D26,0)&gt;=IF(ISNUMBER(E26),E26,0),"Aqua Ceramics","Royal")))</f>
        <v>Royal</v>
      </c>
    </row>
    <row r="27" customFormat="false" ht="15" hidden="false" customHeight="false" outlineLevel="0" collapsed="false">
      <c r="A27" s="15" t="s">
        <v>45</v>
      </c>
      <c r="B27" s="23" t="s">
        <v>46</v>
      </c>
      <c r="C27" s="17" t="n">
        <v>3</v>
      </c>
      <c r="D27" s="18" t="s">
        <v>17</v>
      </c>
      <c r="E27" s="19" t="s">
        <v>17</v>
      </c>
      <c r="F27" s="20" t="s">
        <v>17</v>
      </c>
      <c r="G27" s="21" t="s">
        <v>17</v>
      </c>
      <c r="H27" s="24" t="str">
        <f aca="false">IF(IF(ISNUMBER(C27),C27,0)&gt;0,"Axon Global",IF(MAX(IF(ISNUMBER(D27),D27,0),IF(ISNUMBER(E27),E27,0))=0,"Order in",IF(IF(ISNUMBER(D27),D27,0)&gt;=IF(ISNUMBER(E27),E27,0),"Aqua Ceramics","Royal")))</f>
        <v>Axon Global</v>
      </c>
    </row>
    <row r="28" customFormat="false" ht="15" hidden="false" customHeight="false" outlineLevel="0" collapsed="false">
      <c r="A28" s="15" t="s">
        <v>47</v>
      </c>
      <c r="B28" s="23" t="s">
        <v>48</v>
      </c>
      <c r="C28" s="17" t="n">
        <v>2</v>
      </c>
      <c r="D28" s="18" t="n">
        <v>6</v>
      </c>
      <c r="E28" s="19" t="n">
        <v>8</v>
      </c>
      <c r="F28" s="20" t="n">
        <v>3</v>
      </c>
      <c r="G28" s="21" t="n">
        <v>5</v>
      </c>
      <c r="H28" s="24" t="str">
        <f aca="false">IF(IF(ISNUMBER(C28),C28,0)&gt;0,"Axon Global",IF(MAX(IF(ISNUMBER(D28),D28,0),IF(ISNUMBER(E28),E28,0))=0,"Order in",IF(IF(ISNUMBER(D28),D28,0)&gt;=IF(ISNUMBER(E28),E28,0),"Aqua Ceramics","Royal")))</f>
        <v>Axon Global</v>
      </c>
    </row>
    <row r="29" customFormat="false" ht="15" hidden="false" customHeight="false" outlineLevel="0" collapsed="false">
      <c r="A29" s="15" t="s">
        <v>49</v>
      </c>
      <c r="B29" s="23" t="s">
        <v>48</v>
      </c>
      <c r="C29" s="17" t="n">
        <v>8</v>
      </c>
      <c r="D29" s="18" t="n">
        <v>6</v>
      </c>
      <c r="E29" s="19" t="n">
        <v>18</v>
      </c>
      <c r="F29" s="20" t="s">
        <v>17</v>
      </c>
      <c r="G29" s="21" t="n">
        <v>2</v>
      </c>
      <c r="H29" s="24" t="str">
        <f aca="false">IF(IF(ISNUMBER(C29),C29,0)&gt;0,"Axon Global",IF(MAX(IF(ISNUMBER(D29),D29,0),IF(ISNUMBER(E29),E29,0))=0,"Order in",IF(IF(ISNUMBER(D29),D29,0)&gt;=IF(ISNUMBER(E29),E29,0),"Aqua Ceramics","Royal")))</f>
        <v>Axon Global</v>
      </c>
    </row>
    <row r="30" customFormat="false" ht="15" hidden="false" customHeight="false" outlineLevel="0" collapsed="false">
      <c r="A30" s="15" t="s">
        <v>50</v>
      </c>
      <c r="B30" s="23" t="s">
        <v>48</v>
      </c>
      <c r="C30" s="17" t="n">
        <v>7</v>
      </c>
      <c r="D30" s="18" t="n">
        <v>2</v>
      </c>
      <c r="E30" s="19" t="n">
        <v>16</v>
      </c>
      <c r="F30" s="20" t="n">
        <v>3</v>
      </c>
      <c r="G30" s="21" t="s">
        <v>17</v>
      </c>
      <c r="H30" s="24" t="str">
        <f aca="false">IF(IF(ISNUMBER(C30),C30,0)&gt;0,"Axon Global",IF(MAX(IF(ISNUMBER(D30),D30,0),IF(ISNUMBER(E30),E30,0))=0,"Order in",IF(IF(ISNUMBER(D30),D30,0)&gt;=IF(ISNUMBER(E30),E30,0),"Aqua Ceramics","Royal")))</f>
        <v>Axon Global</v>
      </c>
    </row>
    <row r="31" customFormat="false" ht="15" hidden="false" customHeight="false" outlineLevel="0" collapsed="false">
      <c r="A31" s="15" t="s">
        <v>51</v>
      </c>
      <c r="B31" s="23" t="s">
        <v>48</v>
      </c>
      <c r="C31" s="17" t="n">
        <v>5</v>
      </c>
      <c r="D31" s="18" t="n">
        <v>4</v>
      </c>
      <c r="E31" s="19" t="s">
        <v>17</v>
      </c>
      <c r="F31" s="20" t="s">
        <v>17</v>
      </c>
      <c r="G31" s="21" t="s">
        <v>17</v>
      </c>
      <c r="H31" s="24" t="str">
        <f aca="false">IF(IF(ISNUMBER(C31),C31,0)&gt;0,"Axon Global",IF(MAX(IF(ISNUMBER(D31),D31,0),IF(ISNUMBER(E31),E31,0))=0,"Order in",IF(IF(ISNUMBER(D31),D31,0)&gt;=IF(ISNUMBER(E31),E31,0),"Aqua Ceramics","Royal")))</f>
        <v>Axon Global</v>
      </c>
    </row>
    <row r="32" customFormat="false" ht="15" hidden="false" customHeight="false" outlineLevel="0" collapsed="false">
      <c r="A32" s="15" t="s">
        <v>52</v>
      </c>
      <c r="B32" s="16" t="s">
        <v>41</v>
      </c>
      <c r="C32" s="17" t="s">
        <v>17</v>
      </c>
      <c r="D32" s="18" t="n">
        <v>3</v>
      </c>
      <c r="E32" s="19" t="s">
        <v>17</v>
      </c>
      <c r="F32" s="20" t="s">
        <v>17</v>
      </c>
      <c r="G32" s="21" t="s">
        <v>17</v>
      </c>
      <c r="H32" s="22" t="str">
        <f aca="false">IF(IF(ISNUMBER(C32),C32,0)&gt;0,"Axon Global",IF(MAX(IF(ISNUMBER(D32),D32,0),IF(ISNUMBER(E32),E32,0))=0,"Order in",IF(IF(ISNUMBER(D32),D32,0)&gt;=IF(ISNUMBER(E32),E32,0),"Aqua Ceramics","Royal")))</f>
        <v>Aqua Ceramics</v>
      </c>
    </row>
    <row r="33" customFormat="false" ht="15" hidden="false" customHeight="false" outlineLevel="0" collapsed="false">
      <c r="A33" s="15" t="s">
        <v>53</v>
      </c>
      <c r="B33" s="23" t="s">
        <v>46</v>
      </c>
      <c r="C33" s="17" t="n">
        <v>5</v>
      </c>
      <c r="D33" s="18" t="s">
        <v>17</v>
      </c>
      <c r="E33" s="19" t="s">
        <v>17</v>
      </c>
      <c r="F33" s="20" t="s">
        <v>17</v>
      </c>
      <c r="G33" s="21" t="s">
        <v>17</v>
      </c>
      <c r="H33" s="24" t="str">
        <f aca="false">IF(IF(ISNUMBER(C33),C33,0)&gt;0,"Axon Global",IF(MAX(IF(ISNUMBER(D33),D33,0),IF(ISNUMBER(E33),E33,0))=0,"Order in",IF(IF(ISNUMBER(D33),D33,0)&gt;=IF(ISNUMBER(E33),E33,0),"Aqua Ceramics","Royal")))</f>
        <v>Axon Global</v>
      </c>
    </row>
    <row r="34" customFormat="false" ht="15" hidden="false" customHeight="false" outlineLevel="0" collapsed="false">
      <c r="A34" s="15" t="s">
        <v>54</v>
      </c>
      <c r="B34" s="16" t="s">
        <v>41</v>
      </c>
      <c r="C34" s="17" t="s">
        <v>17</v>
      </c>
      <c r="D34" s="18" t="n">
        <v>3</v>
      </c>
      <c r="E34" s="19" t="s">
        <v>17</v>
      </c>
      <c r="F34" s="20" t="s">
        <v>17</v>
      </c>
      <c r="G34" s="21" t="s">
        <v>17</v>
      </c>
      <c r="H34" s="22" t="str">
        <f aca="false">IF(IF(ISNUMBER(C34),C34,0)&gt;0,"Axon Global",IF(MAX(IF(ISNUMBER(D34),D34,0),IF(ISNUMBER(E34),E34,0))=0,"Order in",IF(IF(ISNUMBER(D34),D34,0)&gt;=IF(ISNUMBER(E34),E34,0),"Aqua Ceramics","Royal")))</f>
        <v>Aqua Ceramics</v>
      </c>
    </row>
    <row r="35" customFormat="false" ht="15" hidden="false" customHeight="false" outlineLevel="0" collapsed="false">
      <c r="A35" s="15" t="s">
        <v>55</v>
      </c>
      <c r="B35" s="23" t="s">
        <v>26</v>
      </c>
      <c r="C35" s="17" t="n">
        <v>1</v>
      </c>
      <c r="D35" s="18" t="n">
        <v>3</v>
      </c>
      <c r="E35" s="19" t="n">
        <v>3</v>
      </c>
      <c r="F35" s="20" t="n">
        <v>2</v>
      </c>
      <c r="G35" s="21" t="n">
        <v>2</v>
      </c>
      <c r="H35" s="24" t="str">
        <f aca="false">IF(IF(ISNUMBER(C35),C35,0)&gt;0,"Axon Global",IF(MAX(IF(ISNUMBER(D35),D35,0),IF(ISNUMBER(E35),E35,0))=0,"Order in",IF(IF(ISNUMBER(D35),D35,0)&gt;=IF(ISNUMBER(E35),E35,0),"Aqua Ceramics","Royal")))</f>
        <v>Axon Global</v>
      </c>
    </row>
    <row r="36" customFormat="false" ht="15" hidden="false" customHeight="false" outlineLevel="0" collapsed="false">
      <c r="A36" s="15" t="s">
        <v>56</v>
      </c>
      <c r="B36" s="23" t="s">
        <v>48</v>
      </c>
      <c r="C36" s="17" t="s">
        <v>17</v>
      </c>
      <c r="D36" s="18" t="s">
        <v>17</v>
      </c>
      <c r="E36" s="19" t="n">
        <v>15</v>
      </c>
      <c r="F36" s="20" t="s">
        <v>17</v>
      </c>
      <c r="G36" s="21" t="s">
        <v>17</v>
      </c>
      <c r="H36" s="25" t="str">
        <f aca="false">IF(IF(ISNUMBER(C36),C36,0)&gt;0,"Axon Global",IF(MAX(IF(ISNUMBER(D36),D36,0),IF(ISNUMBER(E36),E36,0))=0,"Order in",IF(IF(ISNUMBER(D36),D36,0)&gt;=IF(ISNUMBER(E36),E36,0),"Aqua Ceramics","Royal")))</f>
        <v>Royal</v>
      </c>
    </row>
    <row r="37" customFormat="false" ht="15" hidden="false" customHeight="false" outlineLevel="0" collapsed="false">
      <c r="A37" s="15" t="s">
        <v>57</v>
      </c>
      <c r="B37" s="23" t="s">
        <v>26</v>
      </c>
      <c r="C37" s="17" t="n">
        <v>0</v>
      </c>
      <c r="D37" s="18" t="n">
        <v>3</v>
      </c>
      <c r="E37" s="19" t="n">
        <v>5</v>
      </c>
      <c r="F37" s="20" t="n">
        <v>2</v>
      </c>
      <c r="G37" s="21" t="s">
        <v>17</v>
      </c>
      <c r="H37" s="25" t="str">
        <f aca="false">IF(IF(ISNUMBER(C37),C37,0)&gt;0,"Axon Global",IF(MAX(IF(ISNUMBER(D37),D37,0),IF(ISNUMBER(E37),E37,0))=0,"Order in",IF(IF(ISNUMBER(D37),D37,0)&gt;=IF(ISNUMBER(E37),E37,0),"Aqua Ceramics","Royal")))</f>
        <v>Royal</v>
      </c>
    </row>
    <row r="38" customFormat="false" ht="15" hidden="false" customHeight="false" outlineLevel="0" collapsed="false">
      <c r="A38" s="15" t="s">
        <v>58</v>
      </c>
      <c r="B38" s="23" t="s">
        <v>48</v>
      </c>
      <c r="C38" s="17" t="n">
        <v>3</v>
      </c>
      <c r="D38" s="18" t="n">
        <v>4</v>
      </c>
      <c r="E38" s="19" t="n">
        <v>16</v>
      </c>
      <c r="F38" s="20" t="n">
        <v>2</v>
      </c>
      <c r="G38" s="21" t="s">
        <v>17</v>
      </c>
      <c r="H38" s="24" t="str">
        <f aca="false">IF(IF(ISNUMBER(C38),C38,0)&gt;0,"Axon Global",IF(MAX(IF(ISNUMBER(D38),D38,0),IF(ISNUMBER(E38),E38,0))=0,"Order in",IF(IF(ISNUMBER(D38),D38,0)&gt;=IF(ISNUMBER(E38),E38,0),"Aqua Ceramics","Royal")))</f>
        <v>Axon Global</v>
      </c>
    </row>
    <row r="39" customFormat="false" ht="15" hidden="false" customHeight="false" outlineLevel="0" collapsed="false">
      <c r="A39" s="15" t="s">
        <v>59</v>
      </c>
      <c r="B39" s="23" t="s">
        <v>48</v>
      </c>
      <c r="C39" s="17" t="n">
        <v>5</v>
      </c>
      <c r="D39" s="18" t="n">
        <v>6.99</v>
      </c>
      <c r="E39" s="19" t="s">
        <v>17</v>
      </c>
      <c r="F39" s="20" t="n">
        <v>3</v>
      </c>
      <c r="G39" s="21" t="n">
        <v>2</v>
      </c>
      <c r="H39" s="24" t="str">
        <f aca="false">IF(IF(ISNUMBER(C39),C39,0)&gt;0,"Axon Global",IF(MAX(IF(ISNUMBER(D39),D39,0),IF(ISNUMBER(E39),E39,0))=0,"Order in",IF(IF(ISNUMBER(D39),D39,0)&gt;=IF(ISNUMBER(E39),E39,0),"Aqua Ceramics","Royal")))</f>
        <v>Axon Global</v>
      </c>
    </row>
    <row r="40" customFormat="false" ht="15" hidden="false" customHeight="false" outlineLevel="0" collapsed="false">
      <c r="A40" s="15" t="s">
        <v>60</v>
      </c>
      <c r="B40" s="23" t="s">
        <v>26</v>
      </c>
      <c r="C40" s="17" t="s">
        <v>17</v>
      </c>
      <c r="D40" s="18" t="n">
        <v>1</v>
      </c>
      <c r="E40" s="19" t="n">
        <v>5</v>
      </c>
      <c r="F40" s="20" t="s">
        <v>17</v>
      </c>
      <c r="G40" s="21" t="s">
        <v>17</v>
      </c>
      <c r="H40" s="25" t="str">
        <f aca="false">IF(IF(ISNUMBER(C40),C40,0)&gt;0,"Axon Global",IF(MAX(IF(ISNUMBER(D40),D40,0),IF(ISNUMBER(E40),E40,0))=0,"Order in",IF(IF(ISNUMBER(D40),D40,0)&gt;=IF(ISNUMBER(E40),E40,0),"Aqua Ceramics","Royal")))</f>
        <v>Royal</v>
      </c>
    </row>
    <row r="41" customFormat="false" ht="15" hidden="false" customHeight="false" outlineLevel="0" collapsed="false">
      <c r="A41" s="15" t="s">
        <v>61</v>
      </c>
      <c r="B41" s="23" t="s">
        <v>36</v>
      </c>
      <c r="C41" s="17" t="n">
        <v>3</v>
      </c>
      <c r="D41" s="18" t="n">
        <v>1</v>
      </c>
      <c r="E41" s="19" t="s">
        <v>17</v>
      </c>
      <c r="F41" s="20" t="n">
        <v>2</v>
      </c>
      <c r="G41" s="21" t="s">
        <v>17</v>
      </c>
      <c r="H41" s="24" t="str">
        <f aca="false">IF(IF(ISNUMBER(C41),C41,0)&gt;0,"Axon Global",IF(MAX(IF(ISNUMBER(D41),D41,0),IF(ISNUMBER(E41),E41,0))=0,"Order in",IF(IF(ISNUMBER(D41),D41,0)&gt;=IF(ISNUMBER(E41),E41,0),"Aqua Ceramics","Royal")))</f>
        <v>Axon Global</v>
      </c>
    </row>
    <row r="42" customFormat="false" ht="15" hidden="false" customHeight="false" outlineLevel="0" collapsed="false">
      <c r="A42" s="15" t="s">
        <v>62</v>
      </c>
      <c r="B42" s="23" t="s">
        <v>26</v>
      </c>
      <c r="C42" s="17" t="n">
        <v>0</v>
      </c>
      <c r="D42" s="18" t="n">
        <v>3</v>
      </c>
      <c r="E42" s="19" t="s">
        <v>17</v>
      </c>
      <c r="F42" s="20" t="n">
        <v>2</v>
      </c>
      <c r="G42" s="21" t="n">
        <v>2</v>
      </c>
      <c r="H42" s="22" t="str">
        <f aca="false">IF(IF(ISNUMBER(C42),C42,0)&gt;0,"Axon Global",IF(MAX(IF(ISNUMBER(D42),D42,0),IF(ISNUMBER(E42),E42,0))=0,"Order in",IF(IF(ISNUMBER(D42),D42,0)&gt;=IF(ISNUMBER(E42),E42,0),"Aqua Ceramics","Royal")))</f>
        <v>Aqua Ceramics</v>
      </c>
    </row>
    <row r="43" customFormat="false" ht="15" hidden="false" customHeight="false" outlineLevel="0" collapsed="false">
      <c r="A43" s="15" t="s">
        <v>63</v>
      </c>
      <c r="B43" s="23" t="s">
        <v>64</v>
      </c>
      <c r="C43" s="17" t="s">
        <v>17</v>
      </c>
      <c r="D43" s="18" t="n">
        <v>3.99</v>
      </c>
      <c r="E43" s="19" t="s">
        <v>17</v>
      </c>
      <c r="F43" s="20" t="s">
        <v>17</v>
      </c>
      <c r="G43" s="21" t="s">
        <v>17</v>
      </c>
      <c r="H43" s="22" t="str">
        <f aca="false">IF(IF(ISNUMBER(C43),C43,0)&gt;0,"Axon Global",IF(MAX(IF(ISNUMBER(D43),D43,0),IF(ISNUMBER(E43),E43,0))=0,"Order in",IF(IF(ISNUMBER(D43),D43,0)&gt;=IF(ISNUMBER(E43),E43,0),"Aqua Ceramics","Royal")))</f>
        <v>Aqua Ceramics</v>
      </c>
    </row>
    <row r="44" customFormat="false" ht="15" hidden="false" customHeight="false" outlineLevel="0" collapsed="false">
      <c r="A44" s="15" t="s">
        <v>65</v>
      </c>
      <c r="B44" s="23" t="s">
        <v>26</v>
      </c>
      <c r="C44" s="17" t="n">
        <v>5</v>
      </c>
      <c r="D44" s="18" t="n">
        <v>6</v>
      </c>
      <c r="E44" s="19" t="s">
        <v>17</v>
      </c>
      <c r="F44" s="20" t="s">
        <v>17</v>
      </c>
      <c r="G44" s="21" t="s">
        <v>17</v>
      </c>
      <c r="H44" s="24" t="str">
        <f aca="false">IF(IF(ISNUMBER(C44),C44,0)&gt;0,"Axon Global",IF(MAX(IF(ISNUMBER(D44),D44,0),IF(ISNUMBER(E44),E44,0))=0,"Order in",IF(IF(ISNUMBER(D44),D44,0)&gt;=IF(ISNUMBER(E44),E44,0),"Aqua Ceramics","Royal")))</f>
        <v>Axon Global</v>
      </c>
    </row>
    <row r="45" customFormat="false" ht="15" hidden="false" customHeight="false" outlineLevel="0" collapsed="false">
      <c r="A45" s="15" t="s">
        <v>66</v>
      </c>
      <c r="B45" s="23" t="s">
        <v>36</v>
      </c>
      <c r="C45" s="17" t="n">
        <v>3</v>
      </c>
      <c r="D45" s="18" t="n">
        <v>4</v>
      </c>
      <c r="E45" s="19" t="s">
        <v>17</v>
      </c>
      <c r="F45" s="20" t="s">
        <v>17</v>
      </c>
      <c r="G45" s="21" t="s">
        <v>17</v>
      </c>
      <c r="H45" s="24" t="str">
        <f aca="false">IF(IF(ISNUMBER(C45),C45,0)&gt;0,"Axon Global",IF(MAX(IF(ISNUMBER(D45),D45,0),IF(ISNUMBER(E45),E45,0))=0,"Order in",IF(IF(ISNUMBER(D45),D45,0)&gt;=IF(ISNUMBER(E45),E45,0),"Aqua Ceramics","Royal")))</f>
        <v>Axon Global</v>
      </c>
    </row>
    <row r="46" customFormat="false" ht="15" hidden="false" customHeight="false" outlineLevel="0" collapsed="false">
      <c r="A46" s="26" t="s">
        <v>67</v>
      </c>
      <c r="B46" s="27" t="s">
        <v>24</v>
      </c>
      <c r="C46" s="28" t="n">
        <v>-2</v>
      </c>
      <c r="D46" s="18" t="n">
        <v>8</v>
      </c>
      <c r="E46" s="19" t="s">
        <v>17</v>
      </c>
      <c r="F46" s="20" t="s">
        <v>17</v>
      </c>
      <c r="G46" s="21" t="n">
        <v>2</v>
      </c>
      <c r="H46" s="22" t="str">
        <f aca="false">IF(IF(ISNUMBER(C46),C46,0)&gt;0,"Axon Global",IF(MAX(IF(ISNUMBER(D46),D46,0),IF(ISNUMBER(E46),E46,0))=0,"Order in",IF(IF(ISNUMBER(D46),D46,0)&gt;=IF(ISNUMBER(E46),E46,0),"Aqua Ceramics","Royal")))</f>
        <v>Aqua Ceramics</v>
      </c>
    </row>
    <row r="47" customFormat="false" ht="15" hidden="false" customHeight="false" outlineLevel="0" collapsed="false">
      <c r="A47" s="15" t="s">
        <v>68</v>
      </c>
      <c r="B47" s="23" t="s">
        <v>69</v>
      </c>
      <c r="C47" s="17" t="s">
        <v>17</v>
      </c>
      <c r="D47" s="18" t="n">
        <v>5</v>
      </c>
      <c r="E47" s="19" t="s">
        <v>17</v>
      </c>
      <c r="F47" s="20" t="s">
        <v>17</v>
      </c>
      <c r="G47" s="21" t="s">
        <v>17</v>
      </c>
      <c r="H47" s="22" t="str">
        <f aca="false">IF(IF(ISNUMBER(C47),C47,0)&gt;0,"Axon Global",IF(MAX(IF(ISNUMBER(D47),D47,0),IF(ISNUMBER(E47),E47,0))=0,"Order in",IF(IF(ISNUMBER(D47),D47,0)&gt;=IF(ISNUMBER(E47),E47,0),"Aqua Ceramics","Royal")))</f>
        <v>Aqua Ceramics</v>
      </c>
    </row>
    <row r="48" customFormat="false" ht="15" hidden="false" customHeight="false" outlineLevel="0" collapsed="false">
      <c r="A48" s="15" t="s">
        <v>70</v>
      </c>
      <c r="B48" s="23" t="s">
        <v>69</v>
      </c>
      <c r="C48" s="17" t="n">
        <v>1</v>
      </c>
      <c r="D48" s="18" t="n">
        <v>3</v>
      </c>
      <c r="E48" s="19" t="s">
        <v>17</v>
      </c>
      <c r="F48" s="20" t="n">
        <v>2</v>
      </c>
      <c r="G48" s="21" t="n">
        <v>2</v>
      </c>
      <c r="H48" s="24" t="str">
        <f aca="false">IF(IF(ISNUMBER(C48),C48,0)&gt;0,"Axon Global",IF(MAX(IF(ISNUMBER(D48),D48,0),IF(ISNUMBER(E48),E48,0))=0,"Order in",IF(IF(ISNUMBER(D48),D48,0)&gt;=IF(ISNUMBER(E48),E48,0),"Aqua Ceramics","Royal")))</f>
        <v>Axon Global</v>
      </c>
    </row>
    <row r="49" customFormat="false" ht="15" hidden="false" customHeight="false" outlineLevel="0" collapsed="false">
      <c r="A49" s="29" t="s">
        <v>71</v>
      </c>
      <c r="B49" s="30"/>
      <c r="C49" s="31" t="n">
        <f aca="false">SUM(C7:C48)</f>
        <v>85</v>
      </c>
      <c r="D49" s="31" t="n">
        <f aca="false">SUM(D7:D48)</f>
        <v>125.98</v>
      </c>
      <c r="E49" s="31" t="n">
        <f aca="false">SUM(E7:E48)</f>
        <v>138</v>
      </c>
      <c r="F49" s="31" t="n">
        <f aca="false">SUM(F7:F48)</f>
        <v>27</v>
      </c>
      <c r="G49" s="31" t="n">
        <f aca="false">SUM(G7:G48)</f>
        <v>20</v>
      </c>
      <c r="H49" s="30"/>
    </row>
    <row r="52" customFormat="false" ht="15" hidden="false" customHeight="false" outlineLevel="0" collapsed="false">
      <c r="A52" s="32" t="s">
        <v>72</v>
      </c>
    </row>
    <row r="53" customFormat="false" ht="15" hidden="false" customHeight="false" outlineLevel="0" collapsed="false">
      <c r="A53" s="33"/>
      <c r="B53" s="34" t="s">
        <v>73</v>
      </c>
      <c r="D53" s="35" t="n">
        <f aca="false">C49</f>
        <v>85</v>
      </c>
    </row>
    <row r="54" customFormat="false" ht="15" hidden="false" customHeight="false" outlineLevel="0" collapsed="false">
      <c r="A54" s="36"/>
      <c r="B54" s="34" t="s">
        <v>74</v>
      </c>
      <c r="D54" s="35" t="n">
        <f aca="false">D49</f>
        <v>125.98</v>
      </c>
    </row>
    <row r="55" customFormat="false" ht="15" hidden="false" customHeight="false" outlineLevel="0" collapsed="false">
      <c r="A55" s="37"/>
      <c r="B55" s="34" t="s">
        <v>75</v>
      </c>
      <c r="D55" s="35" t="n">
        <f aca="false">E49</f>
        <v>138</v>
      </c>
    </row>
    <row r="56" customFormat="false" ht="15" hidden="false" customHeight="false" outlineLevel="0" collapsed="false">
      <c r="A56" s="38"/>
      <c r="B56" s="34" t="s">
        <v>76</v>
      </c>
      <c r="D56" s="35" t="n">
        <f aca="false">F49</f>
        <v>27</v>
      </c>
    </row>
    <row r="57" customFormat="false" ht="15" hidden="false" customHeight="false" outlineLevel="0" collapsed="false">
      <c r="A57" s="38"/>
      <c r="B57" s="34" t="s">
        <v>77</v>
      </c>
      <c r="D57" s="35" t="n">
        <f aca="false">G49</f>
        <v>20</v>
      </c>
    </row>
    <row r="58" customFormat="false" ht="15" hidden="false" customHeight="false" outlineLevel="0" collapsed="false">
      <c r="A58" s="38"/>
      <c r="B58" s="34" t="s">
        <v>78</v>
      </c>
      <c r="D58" s="35" t="n">
        <f aca="false">F49+G49</f>
        <v>47</v>
      </c>
    </row>
    <row r="61" customFormat="false" ht="15" hidden="false" customHeight="false" outlineLevel="0" collapsed="false">
      <c r="A61" s="39" t="s">
        <v>79</v>
      </c>
    </row>
    <row r="62" customFormat="false" ht="15" hidden="false" customHeight="false" outlineLevel="0" collapsed="false">
      <c r="A62" s="40" t="s">
        <v>80</v>
      </c>
    </row>
    <row r="63" customFormat="false" ht="15" hidden="false" customHeight="false" outlineLevel="0" collapsed="false">
      <c r="A63" s="40" t="s">
        <v>81</v>
      </c>
    </row>
    <row r="64" customFormat="false" ht="15" hidden="false" customHeight="false" outlineLevel="0" collapsed="false">
      <c r="A64" s="40" t="s">
        <v>82</v>
      </c>
    </row>
    <row r="65" customFormat="false" ht="15" hidden="false" customHeight="false" outlineLevel="0" collapsed="false">
      <c r="A65" s="40" t="s">
        <v>83</v>
      </c>
    </row>
    <row r="66" customFormat="false" ht="15" hidden="false" customHeight="false" outlineLevel="0" collapsed="false">
      <c r="A66" s="40" t="s">
        <v>84</v>
      </c>
    </row>
    <row r="67" customFormat="false" ht="15" hidden="false" customHeight="false" outlineLevel="0" collapsed="false">
      <c r="A67" s="40" t="s">
        <v>85</v>
      </c>
    </row>
    <row r="68" customFormat="false" ht="15" hidden="false" customHeight="false" outlineLevel="0" collapsed="false">
      <c r="A68" s="40" t="s">
        <v>86</v>
      </c>
    </row>
    <row r="69" customFormat="false" ht="15" hidden="false" customHeight="false" outlineLevel="0" collapsed="false">
      <c r="A69" s="40" t="s">
        <v>87</v>
      </c>
    </row>
    <row r="70" customFormat="false" ht="15" hidden="false" customHeight="false" outlineLevel="0" collapsed="false">
      <c r="A70" s="40" t="s">
        <v>88</v>
      </c>
    </row>
    <row r="71" customFormat="false" ht="15" hidden="false" customHeight="false" outlineLevel="0" collapsed="false">
      <c r="A71" s="40" t="s">
        <v>89</v>
      </c>
    </row>
    <row r="72" customFormat="false" ht="15" hidden="false" customHeight="false" outlineLevel="0" collapsed="false">
      <c r="A72" s="40" t="s">
        <v>90</v>
      </c>
    </row>
  </sheetData>
  <autoFilter ref="A6:H48"/>
  <mergeCells count="1">
    <mergeCell ref="F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</cols>
  <sheetData>
    <row r="1" customFormat="false" ht="16.15" hidden="false" customHeight="false" outlineLevel="0" collapsed="false">
      <c r="A1" s="41" t="s">
        <v>91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3" t="s">
        <v>93</v>
      </c>
    </row>
    <row r="4" customFormat="false" ht="15" hidden="false" customHeight="false" outlineLevel="0" collapsed="false">
      <c r="A4" s="3" t="s">
        <v>94</v>
      </c>
    </row>
    <row r="6" customFormat="false" ht="30" hidden="false" customHeight="true" outlineLevel="0" collapsed="false">
      <c r="A6" s="42" t="s">
        <v>8</v>
      </c>
      <c r="B6" s="42" t="s">
        <v>7</v>
      </c>
      <c r="C6" s="42" t="s">
        <v>95</v>
      </c>
      <c r="D6" s="42" t="s">
        <v>96</v>
      </c>
      <c r="E6" s="42" t="s">
        <v>97</v>
      </c>
    </row>
    <row r="7" customFormat="false" ht="15" hidden="false" customHeight="false" outlineLevel="0" collapsed="false">
      <c r="A7" s="43" t="s">
        <v>48</v>
      </c>
      <c r="B7" s="15" t="s">
        <v>47</v>
      </c>
      <c r="C7" s="44" t="n">
        <v>645</v>
      </c>
      <c r="D7" s="44" t="n">
        <f aca="false">C7*55.11</f>
        <v>35545.95</v>
      </c>
      <c r="E7" s="45" t="s">
        <v>98</v>
      </c>
    </row>
    <row r="8" customFormat="false" ht="15" hidden="false" customHeight="false" outlineLevel="0" collapsed="false">
      <c r="A8" s="43" t="s">
        <v>48</v>
      </c>
      <c r="B8" s="15" t="s">
        <v>59</v>
      </c>
      <c r="C8" s="44" t="n">
        <v>645</v>
      </c>
      <c r="D8" s="44" t="n">
        <f aca="false">C8*55.11</f>
        <v>35545.95</v>
      </c>
      <c r="E8" s="45" t="s">
        <v>99</v>
      </c>
    </row>
    <row r="9" customFormat="false" ht="15" hidden="false" customHeight="false" outlineLevel="0" collapsed="false">
      <c r="A9" s="43" t="s">
        <v>48</v>
      </c>
      <c r="B9" s="15" t="s">
        <v>50</v>
      </c>
      <c r="C9" s="44" t="n">
        <v>645</v>
      </c>
      <c r="D9" s="44" t="n">
        <f aca="false">C9*55.11</f>
        <v>35545.95</v>
      </c>
      <c r="E9" s="45" t="s">
        <v>100</v>
      </c>
    </row>
    <row r="10" customFormat="false" ht="15" hidden="false" customHeight="false" outlineLevel="0" collapsed="false">
      <c r="A10" s="43" t="s">
        <v>48</v>
      </c>
      <c r="B10" s="15" t="s">
        <v>49</v>
      </c>
      <c r="C10" s="44" t="n">
        <v>645</v>
      </c>
      <c r="D10" s="44" t="n">
        <f aca="false">C10*55.11</f>
        <v>35545.95</v>
      </c>
      <c r="E10" s="45" t="s">
        <v>101</v>
      </c>
    </row>
    <row r="11" customFormat="false" ht="15" hidden="false" customHeight="false" outlineLevel="0" collapsed="false">
      <c r="A11" s="43" t="s">
        <v>48</v>
      </c>
      <c r="B11" s="15" t="s">
        <v>51</v>
      </c>
      <c r="C11" s="44" t="n">
        <v>645</v>
      </c>
      <c r="D11" s="44" t="n">
        <f aca="false">C11*55.11</f>
        <v>35545.95</v>
      </c>
      <c r="E11" s="45" t="s">
        <v>99</v>
      </c>
    </row>
    <row r="12" customFormat="false" ht="15" hidden="false" customHeight="false" outlineLevel="0" collapsed="false">
      <c r="A12" s="43" t="s">
        <v>48</v>
      </c>
      <c r="B12" s="15" t="s">
        <v>56</v>
      </c>
      <c r="C12" s="44" t="n">
        <v>645</v>
      </c>
      <c r="D12" s="44" t="n">
        <f aca="false">C12*55.11</f>
        <v>35545.95</v>
      </c>
      <c r="E12" s="46" t="s">
        <v>102</v>
      </c>
    </row>
    <row r="13" customFormat="false" ht="15" hidden="false" customHeight="false" outlineLevel="0" collapsed="false">
      <c r="A13" s="43" t="s">
        <v>48</v>
      </c>
      <c r="B13" s="15" t="s">
        <v>58</v>
      </c>
      <c r="C13" s="44" t="n">
        <v>645</v>
      </c>
      <c r="D13" s="44" t="n">
        <f aca="false">C13*55.11</f>
        <v>35545.95</v>
      </c>
      <c r="E13" s="45" t="s">
        <v>103</v>
      </c>
    </row>
    <row r="14" customFormat="false" ht="15" hidden="false" customHeight="false" outlineLevel="0" collapsed="false">
      <c r="A14" s="43" t="s">
        <v>24</v>
      </c>
      <c r="B14" s="15" t="s">
        <v>104</v>
      </c>
      <c r="C14" s="44" t="n">
        <v>705</v>
      </c>
      <c r="D14" s="44" t="n">
        <f aca="false">C14*55.11</f>
        <v>38852.55</v>
      </c>
      <c r="E14" s="46" t="s">
        <v>102</v>
      </c>
    </row>
    <row r="15" customFormat="false" ht="15" hidden="false" customHeight="false" outlineLevel="0" collapsed="false">
      <c r="A15" s="43" t="s">
        <v>24</v>
      </c>
      <c r="B15" s="15" t="s">
        <v>31</v>
      </c>
      <c r="C15" s="44" t="n">
        <v>705</v>
      </c>
      <c r="D15" s="44" t="n">
        <f aca="false">C15*55.11</f>
        <v>38852.55</v>
      </c>
      <c r="E15" s="46" t="s">
        <v>102</v>
      </c>
    </row>
    <row r="16" customFormat="false" ht="15" hidden="false" customHeight="false" outlineLevel="0" collapsed="false">
      <c r="A16" s="43" t="s">
        <v>24</v>
      </c>
      <c r="B16" s="15" t="s">
        <v>23</v>
      </c>
      <c r="C16" s="44" t="n">
        <v>705</v>
      </c>
      <c r="D16" s="44" t="n">
        <f aca="false">C16*55.11</f>
        <v>38852.55</v>
      </c>
      <c r="E16" s="46" t="s">
        <v>102</v>
      </c>
    </row>
    <row r="17" customFormat="false" ht="15" hidden="false" customHeight="false" outlineLevel="0" collapsed="false">
      <c r="A17" s="43" t="s">
        <v>24</v>
      </c>
      <c r="B17" s="15" t="s">
        <v>67</v>
      </c>
      <c r="C17" s="44" t="n">
        <v>705</v>
      </c>
      <c r="D17" s="44" t="n">
        <f aca="false">C17*55.11</f>
        <v>38852.55</v>
      </c>
      <c r="E17" s="46" t="s">
        <v>102</v>
      </c>
    </row>
    <row r="18" customFormat="false" ht="15" hidden="false" customHeight="false" outlineLevel="0" collapsed="false">
      <c r="A18" s="43" t="s">
        <v>36</v>
      </c>
      <c r="B18" s="15" t="s">
        <v>66</v>
      </c>
      <c r="C18" s="44" t="n">
        <v>765</v>
      </c>
      <c r="D18" s="44" t="n">
        <f aca="false">C18*55.11</f>
        <v>42159.15</v>
      </c>
      <c r="E18" s="45" t="s">
        <v>103</v>
      </c>
    </row>
    <row r="19" customFormat="false" ht="15" hidden="false" customHeight="false" outlineLevel="0" collapsed="false">
      <c r="A19" s="43" t="s">
        <v>36</v>
      </c>
      <c r="B19" s="15" t="s">
        <v>61</v>
      </c>
      <c r="C19" s="44" t="n">
        <v>765</v>
      </c>
      <c r="D19" s="44" t="n">
        <f aca="false">C19*55.11</f>
        <v>42159.15</v>
      </c>
      <c r="E19" s="45" t="s">
        <v>103</v>
      </c>
    </row>
    <row r="20" customFormat="false" ht="15" hidden="false" customHeight="false" outlineLevel="0" collapsed="false">
      <c r="A20" s="43" t="s">
        <v>36</v>
      </c>
      <c r="B20" s="15" t="s">
        <v>42</v>
      </c>
      <c r="C20" s="44" t="n">
        <v>765</v>
      </c>
      <c r="D20" s="44" t="n">
        <f aca="false">C20*55.11</f>
        <v>42159.15</v>
      </c>
      <c r="E20" s="47" t="s">
        <v>105</v>
      </c>
    </row>
    <row r="21" customFormat="false" ht="15" hidden="false" customHeight="false" outlineLevel="0" collapsed="false">
      <c r="A21" s="43" t="s">
        <v>36</v>
      </c>
      <c r="B21" s="15" t="s">
        <v>35</v>
      </c>
      <c r="C21" s="44" t="n">
        <v>765</v>
      </c>
      <c r="D21" s="44" t="n">
        <f aca="false">C21*55.11</f>
        <v>42159.15</v>
      </c>
      <c r="E21" s="46" t="s">
        <v>102</v>
      </c>
    </row>
    <row r="22" customFormat="false" ht="15" hidden="false" customHeight="false" outlineLevel="0" collapsed="false">
      <c r="A22" s="43" t="s">
        <v>36</v>
      </c>
      <c r="B22" s="15" t="s">
        <v>106</v>
      </c>
      <c r="C22" s="44" t="n">
        <v>765</v>
      </c>
      <c r="D22" s="44" t="n">
        <f aca="false">C22*55.11</f>
        <v>42159.15</v>
      </c>
      <c r="E22" s="46" t="s">
        <v>102</v>
      </c>
    </row>
    <row r="23" customFormat="false" ht="15" hidden="false" customHeight="false" outlineLevel="0" collapsed="false">
      <c r="A23" s="43" t="s">
        <v>26</v>
      </c>
      <c r="B23" s="15" t="s">
        <v>25</v>
      </c>
      <c r="C23" s="44" t="n">
        <v>850</v>
      </c>
      <c r="D23" s="44" t="n">
        <f aca="false">C23*55.11</f>
        <v>46843.5</v>
      </c>
      <c r="E23" s="45" t="s">
        <v>103</v>
      </c>
    </row>
    <row r="24" customFormat="false" ht="15" hidden="false" customHeight="false" outlineLevel="0" collapsed="false">
      <c r="A24" s="43" t="s">
        <v>26</v>
      </c>
      <c r="B24" s="15" t="s">
        <v>60</v>
      </c>
      <c r="C24" s="44" t="n">
        <v>850</v>
      </c>
      <c r="D24" s="44" t="n">
        <f aca="false">C24*55.11</f>
        <v>46843.5</v>
      </c>
      <c r="E24" s="46" t="s">
        <v>102</v>
      </c>
    </row>
    <row r="25" customFormat="false" ht="15" hidden="false" customHeight="false" outlineLevel="0" collapsed="false">
      <c r="A25" s="43" t="s">
        <v>26</v>
      </c>
      <c r="B25" s="15" t="s">
        <v>33</v>
      </c>
      <c r="C25" s="44" t="n">
        <v>850</v>
      </c>
      <c r="D25" s="44" t="n">
        <f aca="false">C25*55.11</f>
        <v>46843.5</v>
      </c>
      <c r="E25" s="45" t="s">
        <v>107</v>
      </c>
    </row>
    <row r="26" customFormat="false" ht="15" hidden="false" customHeight="false" outlineLevel="0" collapsed="false">
      <c r="A26" s="43" t="s">
        <v>26</v>
      </c>
      <c r="B26" s="15" t="s">
        <v>62</v>
      </c>
      <c r="C26" s="44" t="n">
        <v>850</v>
      </c>
      <c r="D26" s="44" t="n">
        <f aca="false">C26*55.11</f>
        <v>46843.5</v>
      </c>
      <c r="E26" s="47" t="s">
        <v>105</v>
      </c>
    </row>
    <row r="27" customFormat="false" ht="15" hidden="false" customHeight="false" outlineLevel="0" collapsed="false">
      <c r="A27" s="43" t="s">
        <v>26</v>
      </c>
      <c r="B27" s="15" t="s">
        <v>38</v>
      </c>
      <c r="C27" s="44" t="n">
        <v>850</v>
      </c>
      <c r="D27" s="44" t="n">
        <f aca="false">C27*55.11</f>
        <v>46843.5</v>
      </c>
      <c r="E27" s="45" t="s">
        <v>99</v>
      </c>
    </row>
    <row r="28" customFormat="false" ht="15" hidden="false" customHeight="false" outlineLevel="0" collapsed="false">
      <c r="A28" s="43" t="s">
        <v>26</v>
      </c>
      <c r="B28" s="15" t="s">
        <v>65</v>
      </c>
      <c r="C28" s="44" t="n">
        <v>850</v>
      </c>
      <c r="D28" s="44" t="n">
        <f aca="false">C28*55.11</f>
        <v>46843.5</v>
      </c>
      <c r="E28" s="45" t="s">
        <v>99</v>
      </c>
    </row>
    <row r="29" customFormat="false" ht="15" hidden="false" customHeight="false" outlineLevel="0" collapsed="false">
      <c r="A29" s="43" t="s">
        <v>26</v>
      </c>
      <c r="B29" s="15" t="s">
        <v>57</v>
      </c>
      <c r="C29" s="44" t="n">
        <v>850</v>
      </c>
      <c r="D29" s="44" t="n">
        <f aca="false">C29*55.11</f>
        <v>46843.5</v>
      </c>
      <c r="E29" s="47" t="s">
        <v>105</v>
      </c>
    </row>
    <row r="30" customFormat="false" ht="15" hidden="false" customHeight="false" outlineLevel="0" collapsed="false">
      <c r="A30" s="43" t="s">
        <v>26</v>
      </c>
      <c r="B30" s="15" t="s">
        <v>55</v>
      </c>
      <c r="C30" s="44" t="n">
        <v>850</v>
      </c>
      <c r="D30" s="44" t="n">
        <f aca="false">C30*55.11</f>
        <v>46843.5</v>
      </c>
      <c r="E30" s="45" t="s">
        <v>108</v>
      </c>
    </row>
    <row r="31" customFormat="false" ht="15" hidden="false" customHeight="false" outlineLevel="0" collapsed="false">
      <c r="A31" s="43" t="s">
        <v>69</v>
      </c>
      <c r="B31" s="15" t="s">
        <v>68</v>
      </c>
      <c r="C31" s="44" t="n">
        <v>930</v>
      </c>
      <c r="D31" s="44" t="n">
        <f aca="false">C31*55.11</f>
        <v>51252.3</v>
      </c>
      <c r="E31" s="46" t="s">
        <v>102</v>
      </c>
    </row>
    <row r="32" customFormat="false" ht="15" hidden="false" customHeight="false" outlineLevel="0" collapsed="false">
      <c r="A32" s="43" t="s">
        <v>69</v>
      </c>
      <c r="B32" s="15" t="s">
        <v>70</v>
      </c>
      <c r="C32" s="44" t="n">
        <v>930</v>
      </c>
      <c r="D32" s="44" t="n">
        <f aca="false">C32*55.11</f>
        <v>51252.3</v>
      </c>
      <c r="E32" s="45" t="s">
        <v>108</v>
      </c>
    </row>
    <row r="33" customFormat="false" ht="15" hidden="false" customHeight="false" outlineLevel="0" collapsed="false">
      <c r="A33" s="43" t="s">
        <v>20</v>
      </c>
      <c r="B33" s="15" t="s">
        <v>19</v>
      </c>
      <c r="C33" s="44" t="n">
        <v>1000</v>
      </c>
      <c r="D33" s="44" t="n">
        <f aca="false">C33*55.11</f>
        <v>55110</v>
      </c>
      <c r="E33" s="45" t="s">
        <v>99</v>
      </c>
    </row>
    <row r="34" customFormat="false" ht="15" hidden="false" customHeight="false" outlineLevel="0" collapsed="false">
      <c r="A34" s="43" t="s">
        <v>64</v>
      </c>
      <c r="B34" s="15" t="s">
        <v>63</v>
      </c>
      <c r="C34" s="44" t="n">
        <v>1070</v>
      </c>
      <c r="D34" s="44" t="n">
        <f aca="false">C34*55.11</f>
        <v>58967.7</v>
      </c>
      <c r="E34" s="46" t="s">
        <v>102</v>
      </c>
    </row>
    <row r="35" customFormat="false" ht="15" hidden="false" customHeight="false" outlineLevel="0" collapsed="false">
      <c r="A35" s="43" t="s">
        <v>30</v>
      </c>
      <c r="B35" s="15" t="s">
        <v>37</v>
      </c>
      <c r="C35" s="44" t="n">
        <v>1160</v>
      </c>
      <c r="D35" s="44" t="n">
        <f aca="false">C35*55.11</f>
        <v>63927.6</v>
      </c>
      <c r="E35" s="46" t="s">
        <v>102</v>
      </c>
    </row>
    <row r="36" customFormat="false" ht="15" hidden="false" customHeight="false" outlineLevel="0" collapsed="false">
      <c r="A36" s="43" t="s">
        <v>30</v>
      </c>
      <c r="B36" s="15" t="s">
        <v>29</v>
      </c>
      <c r="C36" s="44" t="n">
        <v>1160</v>
      </c>
      <c r="D36" s="44" t="n">
        <f aca="false">C36*55.11</f>
        <v>63927.6</v>
      </c>
      <c r="E36" s="45" t="s">
        <v>101</v>
      </c>
    </row>
    <row r="37" customFormat="false" ht="15" hidden="false" customHeight="false" outlineLevel="0" collapsed="false">
      <c r="A37" s="43" t="s">
        <v>46</v>
      </c>
      <c r="B37" s="15" t="s">
        <v>109</v>
      </c>
      <c r="C37" s="44" t="n">
        <v>1150</v>
      </c>
      <c r="D37" s="44" t="n">
        <f aca="false">C37*55.11</f>
        <v>63376.5</v>
      </c>
      <c r="E37" s="46" t="s">
        <v>102</v>
      </c>
    </row>
    <row r="38" customFormat="false" ht="15" hidden="false" customHeight="false" outlineLevel="0" collapsed="false">
      <c r="A38" s="43" t="s">
        <v>46</v>
      </c>
      <c r="B38" s="15" t="s">
        <v>45</v>
      </c>
      <c r="C38" s="44" t="n">
        <v>1150</v>
      </c>
      <c r="D38" s="44" t="n">
        <f aca="false">C38*55.11</f>
        <v>63376.5</v>
      </c>
      <c r="E38" s="45" t="s">
        <v>103</v>
      </c>
    </row>
    <row r="39" customFormat="false" ht="15" hidden="false" customHeight="false" outlineLevel="0" collapsed="false">
      <c r="A39" s="43" t="s">
        <v>46</v>
      </c>
      <c r="B39" s="15" t="s">
        <v>110</v>
      </c>
      <c r="C39" s="44" t="n">
        <v>1150</v>
      </c>
      <c r="D39" s="44" t="n">
        <f aca="false">C39*55.11</f>
        <v>63376.5</v>
      </c>
      <c r="E39" s="46" t="s">
        <v>102</v>
      </c>
    </row>
    <row r="40" customFormat="false" ht="15" hidden="false" customHeight="false" outlineLevel="0" collapsed="false">
      <c r="A40" s="43" t="s">
        <v>46</v>
      </c>
      <c r="B40" s="15" t="s">
        <v>53</v>
      </c>
      <c r="C40" s="44" t="n">
        <v>1150</v>
      </c>
      <c r="D40" s="44" t="n">
        <f aca="false">C40*55.11</f>
        <v>63376.5</v>
      </c>
      <c r="E40" s="45" t="s">
        <v>99</v>
      </c>
    </row>
    <row r="41" customFormat="false" ht="15" hidden="false" customHeight="false" outlineLevel="0" collapsed="false">
      <c r="A41" s="43" t="s">
        <v>46</v>
      </c>
      <c r="B41" s="15" t="s">
        <v>111</v>
      </c>
      <c r="C41" s="44" t="n">
        <v>1150</v>
      </c>
      <c r="D41" s="44" t="n">
        <f aca="false">C41*55.11</f>
        <v>63376.5</v>
      </c>
      <c r="E41" s="46" t="s">
        <v>102</v>
      </c>
    </row>
    <row r="42" customFormat="false" ht="15" hidden="false" customHeight="false" outlineLevel="0" collapsed="false">
      <c r="A42" s="43" t="s">
        <v>46</v>
      </c>
      <c r="B42" s="15" t="s">
        <v>112</v>
      </c>
      <c r="C42" s="44" t="n">
        <v>1150</v>
      </c>
      <c r="D42" s="44" t="n">
        <f aca="false">C42*55.11</f>
        <v>63376.5</v>
      </c>
      <c r="E42" s="46" t="s">
        <v>102</v>
      </c>
    </row>
    <row r="43" customFormat="false" ht="15" hidden="false" customHeight="false" outlineLevel="0" collapsed="false">
      <c r="A43" s="43" t="s">
        <v>46</v>
      </c>
      <c r="B43" s="15" t="s">
        <v>113</v>
      </c>
      <c r="C43" s="44" t="n">
        <v>1150</v>
      </c>
      <c r="D43" s="44" t="n">
        <f aca="false">C43*55.11</f>
        <v>63376.5</v>
      </c>
      <c r="E43" s="46" t="s">
        <v>102</v>
      </c>
    </row>
    <row r="44" customFormat="false" ht="15" hidden="false" customHeight="false" outlineLevel="0" collapsed="false">
      <c r="A44" s="43" t="s">
        <v>46</v>
      </c>
      <c r="B44" s="15" t="s">
        <v>114</v>
      </c>
      <c r="C44" s="44" t="n">
        <v>1150</v>
      </c>
      <c r="D44" s="44" t="n">
        <f aca="false">C44*55.11</f>
        <v>63376.5</v>
      </c>
      <c r="E44" s="46" t="s">
        <v>102</v>
      </c>
    </row>
    <row r="46" customFormat="false" ht="15" hidden="false" customHeight="false" outlineLevel="0" collapsed="false">
      <c r="B46" s="48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2026-09-28T13:14:26Z</dcterms:created>
  <dc:creator>openpyxl</dc:creator>
  <dc:description/>
  <dc:language>en-US</dc:language>
  <cp:lastModifiedBy/>
  <dcterms:modified xsi:type="dcterms:W3CDTF">2026-09-28T13:14:26Z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