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Ledger" sheetId="1" state="visible" r:id="rId3"/>
    <sheet name="Source Documents" sheetId="2" state="visible" r:id="rId4"/>
  </sheets>
  <definedNames>
    <definedName function="false" hidden="true" localSheetId="0" name="_xlnm._FilterDatabase" vbProcedure="false">'Stock Ledger'!$A$6:$M$61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8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49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0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1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2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3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5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6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7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59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B61" authorId="0">
      <text>
        <r>
          <rPr>
            <sz val="10"/>
            <rFont val="Arial"/>
            <family val="2"/>
          </rPr>
          <t xml:space="preserve">Not on the Alito price list — series from the 2026 catalogue.</t>
        </r>
      </text>
    </comment>
    <comment ref="G6" authorId="0">
      <text>
        <r>
          <rPr>
            <sz val="10"/>
            <rFont val="Arial"/>
            <family val="2"/>
          </rPr>
          <t xml:space="preserve">Invoice AL-4 dated 13/11/2025 — the lot passed on to Royal. Quantities match the purchase line for line.</t>
        </r>
      </text>
    </comment>
    <comment ref="H6" authorId="0">
      <text>
        <r>
          <rPr>
            <sz val="10"/>
            <rFont val="Arial"/>
            <family val="2"/>
          </rPr>
          <t xml:space="preserve">Invoice TRM 114 dated 30/10/2025 — the lot passed on to Aqua Ceramics. Quantities match the purchase line for line.</t>
        </r>
      </text>
    </comment>
    <comment ref="J6" authorId="0">
      <text>
        <r>
          <rPr>
            <sz val="10"/>
            <rFont val="Arial"/>
            <family val="2"/>
          </rPr>
          <t xml:space="preserve">Tax Invoice AG/020/26-27 dated 28/09/2026. Metalic Grey 5 slabs, Rs 1,99,966. Delivered to Sycon Maitri, Villa 44, Whitefield.</t>
        </r>
      </text>
    </comment>
    <comment ref="M18" authorId="0">
      <text>
        <r>
          <rPr>
            <sz val="10"/>
            <rFont val="Arial"/>
            <family val="2"/>
          </rPr>
          <t xml:space="preserve">Negative. The only 8 slabs that came in went to Aqua on TRM 114, yet Sai Enterprises was invoiced 2. Either Sai's 2 came from older stock, or one of the two invoices needs checking.</t>
        </r>
      </text>
    </comment>
  </commentList>
</comments>
</file>

<file path=xl/sharedStrings.xml><?xml version="1.0" encoding="utf-8"?>
<sst xmlns="http://schemas.openxmlformats.org/spreadsheetml/2006/main" count="175" uniqueCount="133">
  <si>
    <t xml:space="preserve">AXON GLOBAL — STOCK LEDGER</t>
  </si>
  <si>
    <t xml:space="preserve">Alito quartz slabs — everything purchased, everything sold, and what is left</t>
  </si>
  <si>
    <t xml:space="preserve">Sorted by series A1 to A8, then Artistico, then designs that are off the price list</t>
  </si>
  <si>
    <t xml:space="preserve">STOCK IN — PURCHASED FROM ALITO</t>
  </si>
  <si>
    <t xml:space="preserve">STOCK OUT — SOLD TO CUSTOMERS</t>
  </si>
  <si>
    <t xml:space="preserve">Design Name</t>
  </si>
  <si>
    <t xml:space="preserve">Series</t>
  </si>
  <si>
    <t xml:space="preserve">TRM 114
30-Oct-2025</t>
  </si>
  <si>
    <t xml:space="preserve">AL-4
13-Nov-2025</t>
  </si>
  <si>
    <t xml:space="preserve">AL-36
19-Aug-2026</t>
  </si>
  <si>
    <t xml:space="preserve">TOTAL IN</t>
  </si>
  <si>
    <t xml:space="preserve">Royal
AL-4</t>
  </si>
  <si>
    <t xml:space="preserve">Aqua Ceramics
TRM 114</t>
  </si>
  <si>
    <t xml:space="preserve">M M Sai Enterprises
PI 026</t>
  </si>
  <si>
    <t xml:space="preserve">Dhyann Enterprises
Inv AG/020/26-27</t>
  </si>
  <si>
    <t xml:space="preserve">Ali Kitchen Counter Tops
Inv 016</t>
  </si>
  <si>
    <t xml:space="preserve">TOTAL OUT</t>
  </si>
  <si>
    <t xml:space="preserve">MY INVENTORY</t>
  </si>
  <si>
    <t xml:space="preserve">Lumina Blanco</t>
  </si>
  <si>
    <t xml:space="preserve">A1</t>
  </si>
  <si>
    <t xml:space="preserve">Lumina Bronze</t>
  </si>
  <si>
    <t xml:space="preserve">Lumina Desert</t>
  </si>
  <si>
    <t xml:space="preserve">Lumina Grigio</t>
  </si>
  <si>
    <t xml:space="preserve">Nebula Crema</t>
  </si>
  <si>
    <t xml:space="preserve">Polar Beige</t>
  </si>
  <si>
    <t xml:space="preserve">Polar White</t>
  </si>
  <si>
    <t xml:space="preserve">Apollo Grey</t>
  </si>
  <si>
    <t xml:space="preserve">A2</t>
  </si>
  <si>
    <t xml:space="preserve">Babylone Grey</t>
  </si>
  <si>
    <t xml:space="preserve">Caramel Opus</t>
  </si>
  <si>
    <t xml:space="preserve">Urban Shadow</t>
  </si>
  <si>
    <t xml:space="preserve">Florence Grey</t>
  </si>
  <si>
    <t xml:space="preserve">A3</t>
  </si>
  <si>
    <t xml:space="preserve">Imperial</t>
  </si>
  <si>
    <t xml:space="preserve">Rust</t>
  </si>
  <si>
    <t xml:space="preserve">Urban Noir</t>
  </si>
  <si>
    <t xml:space="preserve">Bollichino</t>
  </si>
  <si>
    <t xml:space="preserve">A4</t>
  </si>
  <si>
    <t xml:space="preserve">Cascade</t>
  </si>
  <si>
    <t xml:space="preserve">Fusion Grey</t>
  </si>
  <si>
    <t xml:space="preserve">Graphite Mist</t>
  </si>
  <si>
    <t xml:space="preserve">Moonlight</t>
  </si>
  <si>
    <t xml:space="preserve">Olympia</t>
  </si>
  <si>
    <t xml:space="preserve">Regal Aura</t>
  </si>
  <si>
    <t xml:space="preserve">Silky Sandle</t>
  </si>
  <si>
    <t xml:space="preserve">Tuscan</t>
  </si>
  <si>
    <t xml:space="preserve">Verona Carrara</t>
  </si>
  <si>
    <t xml:space="preserve">A5</t>
  </si>
  <si>
    <t xml:space="preserve">White Optima</t>
  </si>
  <si>
    <t xml:space="preserve">Alps Cloud</t>
  </si>
  <si>
    <t xml:space="preserve">A6</t>
  </si>
  <si>
    <t xml:space="preserve">Sunstone</t>
  </si>
  <si>
    <t xml:space="preserve">A7</t>
  </si>
  <si>
    <t xml:space="preserve">Calcutta Incise</t>
  </si>
  <si>
    <t xml:space="preserve">A8</t>
  </si>
  <si>
    <t xml:space="preserve">Florentine</t>
  </si>
  <si>
    <t xml:space="preserve">Libac Venata</t>
  </si>
  <si>
    <t xml:space="preserve">ARTISTICO</t>
  </si>
  <si>
    <t xml:space="preserve">Metalic Grey</t>
  </si>
  <si>
    <t xml:space="preserve">Alaska Cloud</t>
  </si>
  <si>
    <t xml:space="preserve">Apex</t>
  </si>
  <si>
    <t xml:space="preserve">Alito Super White</t>
  </si>
  <si>
    <t xml:space="preserve">Calacatta Erose</t>
  </si>
  <si>
    <t xml:space="preserve">Calacatta Gold</t>
  </si>
  <si>
    <t xml:space="preserve">Carrara King</t>
  </si>
  <si>
    <t xml:space="preserve">Comet</t>
  </si>
  <si>
    <t xml:space="preserve">Grey Sonata</t>
  </si>
  <si>
    <t xml:space="preserve">Aether</t>
  </si>
  <si>
    <t xml:space="preserve">Majestic Caffine</t>
  </si>
  <si>
    <t xml:space="preserve">Miami Grey</t>
  </si>
  <si>
    <t xml:space="preserve">Amaz Grey</t>
  </si>
  <si>
    <t xml:space="preserve">Aeon</t>
  </si>
  <si>
    <t xml:space="preserve">Jade Stone</t>
  </si>
  <si>
    <t xml:space="preserve">Accord</t>
  </si>
  <si>
    <t xml:space="preserve">TOTAL SLABS</t>
  </si>
  <si>
    <t xml:space="preserve">Summary</t>
  </si>
  <si>
    <t xml:space="preserve">Purchased — TRM 114, 30-Oct-2025</t>
  </si>
  <si>
    <t xml:space="preserve">Purchased — AL-4, 13-Nov-2025</t>
  </si>
  <si>
    <t xml:space="preserve">Purchased — AL-36, 19-Aug-2026</t>
  </si>
  <si>
    <t xml:space="preserve">TOTAL PURCHASED</t>
  </si>
  <si>
    <t xml:space="preserve">Sold — Royal, AL-4</t>
  </si>
  <si>
    <t xml:space="preserve">Sold — Aqua Ceramics, TRM 114</t>
  </si>
  <si>
    <t xml:space="preserve">Sold — M M Sai Enterprises, PI 026</t>
  </si>
  <si>
    <t xml:space="preserve">Sold — Dhyann Enterprises, Inv AG/020/26-27</t>
  </si>
  <si>
    <t xml:space="preserve">Sold — Ali Kitchen Counter Tops, Inv 016</t>
  </si>
  <si>
    <t xml:space="preserve">TOTAL SOLD</t>
  </si>
  <si>
    <t xml:space="preserve">MY INVENTORY  (purchased − sold)</t>
  </si>
  <si>
    <t xml:space="preserve">Notes</t>
  </si>
  <si>
    <t xml:space="preserve">• Rows run in series order A1 to A8, then Artistico, then designs off the price list.</t>
  </si>
  <si>
    <t xml:space="preserve">• TRM 114 and AL-4 appear on both sides. Alito billed them to Axon, and the same lots went</t>
  </si>
  <si>
    <t xml:space="preserve">    on to Aqua Ceramics and Royal, so each is a purchase and a sale of the same slabs.</t>
  </si>
  <si>
    <t xml:space="preserve">• MY INVENTORY is a live formula: TOTAL IN minus TOTAL OUT, per design.</t>
  </si>
  <si>
    <t xml:space="preserve">• All five customer invoices are now in hand — nothing is pending.</t>
  </si>
  <si>
    <t xml:space="preserve">• Urban Shadow is red. Only 8 came in (TRM 114) and all 8 went to Aqua, but Sai was</t>
  </si>
  <si>
    <t xml:space="preserve">    invoiced 2 more. Either Sai's 2 came from older stock or an invoice needs checking.</t>
  </si>
  <si>
    <t xml:space="preserve">• Amber series cells are not on the Alito price list — series from the 2026 catalogue.</t>
  </si>
  <si>
    <t xml:space="preserve">• Blank means nil on that document, not zero stock.</t>
  </si>
  <si>
    <t xml:space="preserve">Source documents behind this ledger</t>
  </si>
  <si>
    <t xml:space="preserve">Direction</t>
  </si>
  <si>
    <t xml:space="preserve">Party</t>
  </si>
  <si>
    <t xml:space="preserve">Document</t>
  </si>
  <si>
    <t xml:space="preserve">Date</t>
  </si>
  <si>
    <t xml:space="preserve">Slabs</t>
  </si>
  <si>
    <t xml:space="preserve">Status</t>
  </si>
  <si>
    <t xml:space="preserve">IN</t>
  </si>
  <si>
    <t xml:space="preserve">Affil Vitrified Pvt Ltd</t>
  </si>
  <si>
    <t xml:space="preserve">TRM 114</t>
  </si>
  <si>
    <t xml:space="preserve">30/10/2025</t>
  </si>
  <si>
    <t xml:space="preserve">Verified — 147 on document</t>
  </si>
  <si>
    <t xml:space="preserve">AL-4</t>
  </si>
  <si>
    <t xml:space="preserve">13/11/2025</t>
  </si>
  <si>
    <t xml:space="preserve">Verified — 157 on document</t>
  </si>
  <si>
    <t xml:space="preserve">AL-36</t>
  </si>
  <si>
    <t xml:space="preserve">19/08/2026</t>
  </si>
  <si>
    <t xml:space="preserve">Verified — 132 on document</t>
  </si>
  <si>
    <t xml:space="preserve">OUT</t>
  </si>
  <si>
    <t xml:space="preserve">Aqua Ceramics</t>
  </si>
  <si>
    <t xml:space="preserve">Same lot as the TRM 114 purchase</t>
  </si>
  <si>
    <t xml:space="preserve">Royal</t>
  </si>
  <si>
    <t xml:space="preserve">Same lot as the AL-4 purchase</t>
  </si>
  <si>
    <t xml:space="preserve">Ali Kitchen Counter Tops</t>
  </si>
  <si>
    <t xml:space="preserve">Inv 016</t>
  </si>
  <si>
    <t xml:space="preserve">24/08/2026</t>
  </si>
  <si>
    <t xml:space="preserve">Verified — 27 on document</t>
  </si>
  <si>
    <t xml:space="preserve">M M Sai Enterprises</t>
  </si>
  <si>
    <t xml:space="preserve">PI 026</t>
  </si>
  <si>
    <t xml:space="preserve">05/09/2026</t>
  </si>
  <si>
    <t xml:space="preserve">Verified — 20 on document</t>
  </si>
  <si>
    <t xml:space="preserve">Dhyann Enterprises</t>
  </si>
  <si>
    <t xml:space="preserve">AG/020/26-27</t>
  </si>
  <si>
    <t xml:space="preserve">28/09/2026</t>
  </si>
  <si>
    <t xml:space="preserve">Verified — 5 on document</t>
  </si>
  <si>
    <t xml:space="preserve">TRM 114 and AL-4 are listed twice on purpose — bought in, then passed 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</si>
</sst>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Arial"/>
      <family val="0"/>
      <charset val="1"/>
    </font>
    <font>
      <sz val="10"/>
      <color rgb="FF6B6B6B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2A3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4A4A4A"/>
      <name val="Arial"/>
      <family val="0"/>
      <charset val="1"/>
    </font>
    <font>
      <sz val="10"/>
      <name val="Arial"/>
      <family val="2"/>
    </font>
    <font>
      <b val="true"/>
      <sz val="13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sz val="9"/>
      <color rgb="FF1F7A44"/>
      <name val="Arial"/>
      <family val="0"/>
      <charset val="1"/>
    </font>
    <font>
      <b val="true"/>
      <sz val="10"/>
      <color rgb="FF8C3A2B"/>
      <name val="Arial"/>
      <family val="0"/>
      <charset val="1"/>
    </font>
    <font>
      <sz val="9"/>
      <color rgb="FF9A6B00"/>
      <name val="Arial"/>
      <family val="0"/>
      <charset val="1"/>
    </font>
    <font>
      <i val="true"/>
      <sz val="9"/>
      <color rgb="FF6B6B6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1E5631"/>
        <bgColor rgb="FF4A4A4A"/>
      </patternFill>
    </fill>
    <fill>
      <patternFill patternType="solid">
        <fgColor rgb="FF8C3A2B"/>
        <bgColor rgb="FF993366"/>
      </patternFill>
    </fill>
    <fill>
      <patternFill patternType="solid">
        <fgColor rgb="FF6B5B3E"/>
        <bgColor rgb="FF6B6B6B"/>
      </patternFill>
    </fill>
    <fill>
      <patternFill patternType="solid">
        <fgColor rgb="FFD8E9DD"/>
        <bgColor rgb="FFEDF5EF"/>
      </patternFill>
    </fill>
    <fill>
      <patternFill patternType="solid">
        <fgColor rgb="FFF5DAD3"/>
        <bgColor rgb="FFFFD5D5"/>
      </patternFill>
    </fill>
    <fill>
      <patternFill patternType="solid">
        <fgColor rgb="FFEDF5EF"/>
        <bgColor rgb="FFF4F1EA"/>
      </patternFill>
    </fill>
    <fill>
      <patternFill patternType="solid">
        <fgColor rgb="FFFBEEEB"/>
        <bgColor rgb="FFF4F1EA"/>
      </patternFill>
    </fill>
    <fill>
      <patternFill patternType="solid">
        <fgColor rgb="FFFCE4E4"/>
        <bgColor rgb="FFFBEEEB"/>
      </patternFill>
    </fill>
    <fill>
      <patternFill patternType="solid">
        <fgColor rgb="FFF4F1EA"/>
        <bgColor rgb="FFFBEEEB"/>
      </patternFill>
    </fill>
    <fill>
      <patternFill patternType="solid">
        <fgColor rgb="FFFFD5D5"/>
        <bgColor rgb="FFF5DAD3"/>
      </patternFill>
    </fill>
    <fill>
      <patternFill patternType="solid">
        <fgColor rgb="FFFFF4D6"/>
        <bgColor rgb="FFFBEEEB"/>
      </patternFill>
    </fill>
    <fill>
      <patternFill patternType="solid">
        <fgColor rgb="FFC8B89A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E563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C3A2B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6B5B3E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fgColor rgb="FFFFD5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EDF5EF"/>
          <bgColor rgb="FF000000"/>
        </patternFill>
      </fill>
    </dxf>
    <dxf>
      <fill>
        <patternFill patternType="solid">
          <fgColor rgb="FFD8E9DD"/>
          <bgColor rgb="FF000000"/>
        </patternFill>
      </fill>
    </dxf>
    <dxf>
      <fill>
        <patternFill patternType="solid">
          <fgColor rgb="FF8C3A2B"/>
          <bgColor rgb="FF000000"/>
        </patternFill>
      </fill>
    </dxf>
    <dxf>
      <fill>
        <patternFill patternType="solid">
          <fgColor rgb="FFFBEEEB"/>
          <bgColor rgb="FF000000"/>
        </patternFill>
      </fill>
    </dxf>
    <dxf>
      <fill>
        <patternFill patternType="solid">
          <fgColor rgb="FFF5DAD3"/>
          <bgColor rgb="FF000000"/>
        </patternFill>
      </fill>
    </dxf>
    <dxf>
      <fill>
        <patternFill patternType="solid">
          <fgColor rgb="FF6B5B3E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F7A44"/>
      <rgbColor rgb="FFBFBFBF"/>
      <rgbColor rgb="FF8A8A8A"/>
      <rgbColor rgb="FF9999FF"/>
      <rgbColor rgb="FF6B5B3E"/>
      <rgbColor rgb="FFFFF4D6"/>
      <rgbColor rgb="FFEDF5EF"/>
      <rgbColor rgb="FF660066"/>
      <rgbColor rgb="FFFF8080"/>
      <rgbColor rgb="FF0066CC"/>
      <rgbColor rgb="FFF5DA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D8E9DD"/>
      <rgbColor rgb="FFFBEEEB"/>
      <rgbColor rgb="FFFCE4E4"/>
      <rgbColor rgb="FFFF99CC"/>
      <rgbColor rgb="FFCC99FF"/>
      <rgbColor rgb="FFFFD5D5"/>
      <rgbColor rgb="FF3366FF"/>
      <rgbColor rgb="FF33CCCC"/>
      <rgbColor rgb="FF99CC00"/>
      <rgbColor rgb="FFFFCC00"/>
      <rgbColor rgb="FFFF9900"/>
      <rgbColor rgb="FFFF6600"/>
      <rgbColor rgb="FF6B6B6B"/>
      <rgbColor rgb="FFC8B89A"/>
      <rgbColor rgb="FF003366"/>
      <rgbColor rgb="FF339966"/>
      <rgbColor rgb="FF1E5631"/>
      <rgbColor rgb="FF4A4A4A"/>
      <rgbColor rgb="FF8C3A2B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4"/>
      <c r="C5" s="5" t="s">
        <v>3</v>
      </c>
      <c r="D5" s="5"/>
      <c r="E5" s="5"/>
      <c r="F5" s="5"/>
      <c r="G5" s="6" t="s">
        <v>4</v>
      </c>
      <c r="H5" s="6"/>
      <c r="I5" s="6"/>
      <c r="J5" s="6"/>
      <c r="K5" s="6"/>
      <c r="L5" s="6"/>
      <c r="M5" s="7"/>
    </row>
    <row r="6" customFormat="false" ht="42" hidden="false" customHeight="true" outlineLevel="0" collapsed="false">
      <c r="A6" s="8" t="s">
        <v>5</v>
      </c>
      <c r="B6" s="8" t="s">
        <v>6</v>
      </c>
      <c r="C6" s="9" t="s">
        <v>7</v>
      </c>
      <c r="D6" s="9" t="s">
        <v>8</v>
      </c>
      <c r="E6" s="9" t="s">
        <v>9</v>
      </c>
      <c r="F6" s="10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2" t="s">
        <v>16</v>
      </c>
      <c r="M6" s="13" t="s">
        <v>17</v>
      </c>
    </row>
    <row r="7" customFormat="false" ht="15" hidden="false" customHeight="false" outlineLevel="0" collapsed="false">
      <c r="A7" s="14" t="s">
        <v>18</v>
      </c>
      <c r="B7" s="15" t="s">
        <v>19</v>
      </c>
      <c r="C7" s="16" t="n">
        <v>6</v>
      </c>
      <c r="D7" s="17" t="n">
        <v>8</v>
      </c>
      <c r="E7" s="17" t="n">
        <v>10</v>
      </c>
      <c r="F7" s="18" t="n">
        <f aca="false">SUM(C7:E7)</f>
        <v>24</v>
      </c>
      <c r="G7" s="19" t="n">
        <v>8</v>
      </c>
      <c r="H7" s="20" t="n">
        <v>6</v>
      </c>
      <c r="I7" s="20" t="n">
        <v>5</v>
      </c>
      <c r="J7" s="20"/>
      <c r="K7" s="20" t="n">
        <v>3</v>
      </c>
      <c r="L7" s="21" t="n">
        <f aca="false">SUM(G7:K7)</f>
        <v>22</v>
      </c>
      <c r="M7" s="22" t="n">
        <f aca="false">F7-L7</f>
        <v>2</v>
      </c>
    </row>
    <row r="8" customFormat="false" ht="15" hidden="false" customHeight="false" outlineLevel="0" collapsed="false">
      <c r="A8" s="14" t="s">
        <v>20</v>
      </c>
      <c r="B8" s="15" t="s">
        <v>19</v>
      </c>
      <c r="C8" s="16" t="n">
        <v>6</v>
      </c>
      <c r="D8" s="17" t="n">
        <v>18</v>
      </c>
      <c r="E8" s="17" t="n">
        <v>10</v>
      </c>
      <c r="F8" s="18" t="n">
        <f aca="false">SUM(C8:E8)</f>
        <v>34</v>
      </c>
      <c r="G8" s="19" t="n">
        <v>18</v>
      </c>
      <c r="H8" s="20" t="n">
        <v>6</v>
      </c>
      <c r="I8" s="20" t="n">
        <v>2</v>
      </c>
      <c r="J8" s="20"/>
      <c r="K8" s="20"/>
      <c r="L8" s="21" t="n">
        <f aca="false">SUM(G8:K8)</f>
        <v>26</v>
      </c>
      <c r="M8" s="22" t="n">
        <f aca="false">F8-L8</f>
        <v>8</v>
      </c>
    </row>
    <row r="9" customFormat="false" ht="15" hidden="false" customHeight="false" outlineLevel="0" collapsed="false">
      <c r="A9" s="14" t="s">
        <v>21</v>
      </c>
      <c r="B9" s="15" t="s">
        <v>19</v>
      </c>
      <c r="C9" s="16" t="n">
        <v>4</v>
      </c>
      <c r="D9" s="17" t="n">
        <v>18</v>
      </c>
      <c r="E9" s="17" t="n">
        <v>10</v>
      </c>
      <c r="F9" s="18" t="n">
        <f aca="false">SUM(C9:E9)</f>
        <v>32</v>
      </c>
      <c r="G9" s="19" t="n">
        <v>18</v>
      </c>
      <c r="H9" s="20" t="n">
        <v>4</v>
      </c>
      <c r="I9" s="20"/>
      <c r="J9" s="20"/>
      <c r="K9" s="20" t="n">
        <v>3</v>
      </c>
      <c r="L9" s="21" t="n">
        <f aca="false">SUM(G9:K9)</f>
        <v>25</v>
      </c>
      <c r="M9" s="22" t="n">
        <f aca="false">F9-L9</f>
        <v>7</v>
      </c>
    </row>
    <row r="10" customFormat="false" ht="15" hidden="false" customHeight="false" outlineLevel="0" collapsed="false">
      <c r="A10" s="14" t="s">
        <v>22</v>
      </c>
      <c r="B10" s="15" t="s">
        <v>19</v>
      </c>
      <c r="C10" s="16" t="n">
        <v>4</v>
      </c>
      <c r="D10" s="17" t="n">
        <v>7</v>
      </c>
      <c r="E10" s="17" t="n">
        <v>5</v>
      </c>
      <c r="F10" s="18" t="n">
        <f aca="false">SUM(C10:E10)</f>
        <v>16</v>
      </c>
      <c r="G10" s="19" t="n">
        <v>7</v>
      </c>
      <c r="H10" s="20" t="n">
        <v>4</v>
      </c>
      <c r="I10" s="20"/>
      <c r="J10" s="20"/>
      <c r="K10" s="20"/>
      <c r="L10" s="21" t="n">
        <f aca="false">SUM(G10:K10)</f>
        <v>11</v>
      </c>
      <c r="M10" s="22" t="n">
        <f aca="false">F10-L10</f>
        <v>5</v>
      </c>
    </row>
    <row r="11" customFormat="false" ht="15" hidden="false" customHeight="false" outlineLevel="0" collapsed="false">
      <c r="A11" s="14" t="s">
        <v>23</v>
      </c>
      <c r="B11" s="15" t="s">
        <v>19</v>
      </c>
      <c r="C11" s="16"/>
      <c r="D11" s="17" t="n">
        <v>15</v>
      </c>
      <c r="E11" s="17"/>
      <c r="F11" s="18" t="n">
        <f aca="false">SUM(C11:E11)</f>
        <v>15</v>
      </c>
      <c r="G11" s="19" t="n">
        <v>15</v>
      </c>
      <c r="H11" s="20"/>
      <c r="I11" s="20"/>
      <c r="J11" s="20"/>
      <c r="K11" s="20"/>
      <c r="L11" s="21" t="n">
        <f aca="false">SUM(G11:K11)</f>
        <v>15</v>
      </c>
      <c r="M11" s="23" t="n">
        <f aca="false">F11-L11</f>
        <v>0</v>
      </c>
    </row>
    <row r="12" customFormat="false" ht="15" hidden="false" customHeight="false" outlineLevel="0" collapsed="false">
      <c r="A12" s="14" t="s">
        <v>24</v>
      </c>
      <c r="B12" s="15" t="s">
        <v>19</v>
      </c>
      <c r="C12" s="16" t="n">
        <v>4</v>
      </c>
      <c r="D12" s="17" t="n">
        <v>15</v>
      </c>
      <c r="E12" s="17" t="n">
        <v>5</v>
      </c>
      <c r="F12" s="18" t="n">
        <f aca="false">SUM(C12:E12)</f>
        <v>24</v>
      </c>
      <c r="G12" s="19" t="n">
        <v>15</v>
      </c>
      <c r="H12" s="20" t="n">
        <v>4</v>
      </c>
      <c r="I12" s="20"/>
      <c r="J12" s="20"/>
      <c r="K12" s="20" t="n">
        <v>2</v>
      </c>
      <c r="L12" s="21" t="n">
        <f aca="false">SUM(G12:K12)</f>
        <v>21</v>
      </c>
      <c r="M12" s="22" t="n">
        <f aca="false">F12-L12</f>
        <v>3</v>
      </c>
    </row>
    <row r="13" customFormat="false" ht="15" hidden="false" customHeight="false" outlineLevel="0" collapsed="false">
      <c r="A13" s="14" t="s">
        <v>25</v>
      </c>
      <c r="B13" s="15" t="s">
        <v>19</v>
      </c>
      <c r="C13" s="16" t="n">
        <v>10</v>
      </c>
      <c r="D13" s="17"/>
      <c r="E13" s="17" t="n">
        <v>10</v>
      </c>
      <c r="F13" s="18" t="n">
        <f aca="false">SUM(C13:E13)</f>
        <v>20</v>
      </c>
      <c r="G13" s="19"/>
      <c r="H13" s="20" t="n">
        <v>10</v>
      </c>
      <c r="I13" s="20" t="n">
        <v>2</v>
      </c>
      <c r="J13" s="20"/>
      <c r="K13" s="20" t="n">
        <v>3</v>
      </c>
      <c r="L13" s="21" t="n">
        <f aca="false">SUM(G13:K13)</f>
        <v>15</v>
      </c>
      <c r="M13" s="22" t="n">
        <f aca="false">F13-L13</f>
        <v>5</v>
      </c>
    </row>
    <row r="14" customFormat="false" ht="6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customFormat="false" ht="15" hidden="false" customHeight="false" outlineLevel="0" collapsed="false">
      <c r="A15" s="14" t="s">
        <v>26</v>
      </c>
      <c r="B15" s="15" t="s">
        <v>27</v>
      </c>
      <c r="C15" s="16"/>
      <c r="D15" s="17" t="n">
        <v>5</v>
      </c>
      <c r="E15" s="17"/>
      <c r="F15" s="18" t="n">
        <f aca="false">SUM(C15:E15)</f>
        <v>5</v>
      </c>
      <c r="G15" s="19" t="n">
        <v>5</v>
      </c>
      <c r="H15" s="20"/>
      <c r="I15" s="20"/>
      <c r="J15" s="20"/>
      <c r="K15" s="20"/>
      <c r="L15" s="21" t="n">
        <f aca="false">SUM(G15:K15)</f>
        <v>5</v>
      </c>
      <c r="M15" s="23" t="n">
        <f aca="false">F15-L15</f>
        <v>0</v>
      </c>
    </row>
    <row r="16" customFormat="false" ht="15" hidden="false" customHeight="false" outlineLevel="0" collapsed="false">
      <c r="A16" s="14" t="s">
        <v>28</v>
      </c>
      <c r="B16" s="15" t="s">
        <v>27</v>
      </c>
      <c r="C16" s="16"/>
      <c r="D16" s="17" t="n">
        <v>5</v>
      </c>
      <c r="E16" s="17"/>
      <c r="F16" s="18" t="n">
        <f aca="false">SUM(C16:E16)</f>
        <v>5</v>
      </c>
      <c r="G16" s="19" t="n">
        <v>5</v>
      </c>
      <c r="H16" s="20"/>
      <c r="I16" s="20"/>
      <c r="J16" s="20"/>
      <c r="K16" s="20"/>
      <c r="L16" s="21" t="n">
        <f aca="false">SUM(G16:K16)</f>
        <v>5</v>
      </c>
      <c r="M16" s="23" t="n">
        <f aca="false">F16-L16</f>
        <v>0</v>
      </c>
    </row>
    <row r="17" customFormat="false" ht="15" hidden="false" customHeight="false" outlineLevel="0" collapsed="false">
      <c r="A17" s="14" t="s">
        <v>29</v>
      </c>
      <c r="B17" s="15" t="s">
        <v>27</v>
      </c>
      <c r="C17" s="16"/>
      <c r="D17" s="17" t="n">
        <v>7</v>
      </c>
      <c r="E17" s="17"/>
      <c r="F17" s="18" t="n">
        <f aca="false">SUM(C17:E17)</f>
        <v>7</v>
      </c>
      <c r="G17" s="19" t="n">
        <v>7</v>
      </c>
      <c r="H17" s="20"/>
      <c r="I17" s="20"/>
      <c r="J17" s="20"/>
      <c r="K17" s="20"/>
      <c r="L17" s="21" t="n">
        <f aca="false">SUM(G17:K17)</f>
        <v>7</v>
      </c>
      <c r="M17" s="23" t="n">
        <f aca="false">F17-L17</f>
        <v>0</v>
      </c>
    </row>
    <row r="18" customFormat="false" ht="15" hidden="false" customHeight="false" outlineLevel="0" collapsed="false">
      <c r="A18" s="25" t="s">
        <v>30</v>
      </c>
      <c r="B18" s="26" t="s">
        <v>27</v>
      </c>
      <c r="C18" s="27" t="n">
        <v>8</v>
      </c>
      <c r="D18" s="28"/>
      <c r="E18" s="28"/>
      <c r="F18" s="29" t="n">
        <f aca="false">SUM(C18:E18)</f>
        <v>8</v>
      </c>
      <c r="G18" s="30"/>
      <c r="H18" s="28" t="n">
        <v>8</v>
      </c>
      <c r="I18" s="28" t="n">
        <v>2</v>
      </c>
      <c r="J18" s="28"/>
      <c r="K18" s="28"/>
      <c r="L18" s="29" t="n">
        <f aca="false">SUM(G18:K18)</f>
        <v>10</v>
      </c>
      <c r="M18" s="31" t="n">
        <f aca="false">F18-L18</f>
        <v>-2</v>
      </c>
    </row>
    <row r="19" customFormat="false" ht="6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customFormat="false" ht="15" hidden="false" customHeight="false" outlineLevel="0" collapsed="false">
      <c r="A20" s="14" t="s">
        <v>31</v>
      </c>
      <c r="B20" s="15" t="s">
        <v>32</v>
      </c>
      <c r="C20" s="16"/>
      <c r="D20" s="17" t="n">
        <v>12</v>
      </c>
      <c r="E20" s="17"/>
      <c r="F20" s="18" t="n">
        <f aca="false">SUM(C20:E20)</f>
        <v>12</v>
      </c>
      <c r="G20" s="19" t="n">
        <v>12</v>
      </c>
      <c r="H20" s="20"/>
      <c r="I20" s="20"/>
      <c r="J20" s="20"/>
      <c r="K20" s="20"/>
      <c r="L20" s="21" t="n">
        <f aca="false">SUM(G20:K20)</f>
        <v>12</v>
      </c>
      <c r="M20" s="23" t="n">
        <f aca="false">F20-L20</f>
        <v>0</v>
      </c>
    </row>
    <row r="21" customFormat="false" ht="15" hidden="false" customHeight="false" outlineLevel="0" collapsed="false">
      <c r="A21" s="14" t="s">
        <v>33</v>
      </c>
      <c r="B21" s="15" t="s">
        <v>32</v>
      </c>
      <c r="C21" s="16" t="n">
        <v>4</v>
      </c>
      <c r="D21" s="17"/>
      <c r="E21" s="17" t="n">
        <v>5</v>
      </c>
      <c r="F21" s="18" t="n">
        <f aca="false">SUM(C21:E21)</f>
        <v>9</v>
      </c>
      <c r="G21" s="19"/>
      <c r="H21" s="20" t="n">
        <v>4</v>
      </c>
      <c r="I21" s="20" t="n">
        <v>3</v>
      </c>
      <c r="J21" s="20"/>
      <c r="K21" s="20" t="n">
        <v>2</v>
      </c>
      <c r="L21" s="21" t="n">
        <f aca="false">SUM(G21:K21)</f>
        <v>9</v>
      </c>
      <c r="M21" s="23" t="n">
        <f aca="false">F21-L21</f>
        <v>0</v>
      </c>
    </row>
    <row r="22" customFormat="false" ht="15" hidden="false" customHeight="false" outlineLevel="0" collapsed="false">
      <c r="A22" s="14" t="s">
        <v>34</v>
      </c>
      <c r="B22" s="15" t="s">
        <v>32</v>
      </c>
      <c r="C22" s="16" t="n">
        <v>3</v>
      </c>
      <c r="D22" s="17"/>
      <c r="E22" s="17" t="n">
        <v>5</v>
      </c>
      <c r="F22" s="18" t="n">
        <f aca="false">SUM(C22:E22)</f>
        <v>8</v>
      </c>
      <c r="G22" s="19"/>
      <c r="H22" s="20" t="n">
        <v>3</v>
      </c>
      <c r="I22" s="20"/>
      <c r="J22" s="20"/>
      <c r="K22" s="20" t="n">
        <v>2</v>
      </c>
      <c r="L22" s="21" t="n">
        <f aca="false">SUM(G22:K22)</f>
        <v>5</v>
      </c>
      <c r="M22" s="22" t="n">
        <f aca="false">F22-L22</f>
        <v>3</v>
      </c>
    </row>
    <row r="23" customFormat="false" ht="15" hidden="false" customHeight="false" outlineLevel="0" collapsed="false">
      <c r="A23" s="14" t="s">
        <v>35</v>
      </c>
      <c r="B23" s="15" t="s">
        <v>32</v>
      </c>
      <c r="C23" s="16" t="n">
        <v>4</v>
      </c>
      <c r="D23" s="17"/>
      <c r="E23" s="17" t="n">
        <v>3</v>
      </c>
      <c r="F23" s="18" t="n">
        <f aca="false">SUM(C23:E23)</f>
        <v>7</v>
      </c>
      <c r="G23" s="19"/>
      <c r="H23" s="20" t="n">
        <v>4</v>
      </c>
      <c r="I23" s="20"/>
      <c r="J23" s="20"/>
      <c r="K23" s="20"/>
      <c r="L23" s="21" t="n">
        <f aca="false">SUM(G23:K23)</f>
        <v>4</v>
      </c>
      <c r="M23" s="22" t="n">
        <f aca="false">F23-L23</f>
        <v>3</v>
      </c>
    </row>
    <row r="24" customFormat="false" ht="6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customFormat="false" ht="15" hidden="false" customHeight="false" outlineLevel="0" collapsed="false">
      <c r="A25" s="14" t="s">
        <v>36</v>
      </c>
      <c r="B25" s="15" t="s">
        <v>37</v>
      </c>
      <c r="C25" s="16" t="n">
        <v>4</v>
      </c>
      <c r="D25" s="17" t="n">
        <v>7</v>
      </c>
      <c r="E25" s="17" t="n">
        <v>5</v>
      </c>
      <c r="F25" s="18" t="n">
        <f aca="false">SUM(C25:E25)</f>
        <v>16</v>
      </c>
      <c r="G25" s="19" t="n">
        <v>7</v>
      </c>
      <c r="H25" s="20" t="n">
        <v>4</v>
      </c>
      <c r="I25" s="20"/>
      <c r="J25" s="20"/>
      <c r="K25" s="20" t="n">
        <v>2</v>
      </c>
      <c r="L25" s="21" t="n">
        <f aca="false">SUM(G25:K25)</f>
        <v>13</v>
      </c>
      <c r="M25" s="22" t="n">
        <f aca="false">F25-L25</f>
        <v>3</v>
      </c>
    </row>
    <row r="26" customFormat="false" ht="15" hidden="false" customHeight="false" outlineLevel="0" collapsed="false">
      <c r="A26" s="14" t="s">
        <v>38</v>
      </c>
      <c r="B26" s="15" t="s">
        <v>37</v>
      </c>
      <c r="C26" s="16" t="n">
        <v>3</v>
      </c>
      <c r="D26" s="17" t="n">
        <v>6</v>
      </c>
      <c r="E26" s="17" t="n">
        <v>10</v>
      </c>
      <c r="F26" s="18" t="n">
        <f aca="false">SUM(C26:E26)</f>
        <v>19</v>
      </c>
      <c r="G26" s="19" t="n">
        <v>6</v>
      </c>
      <c r="H26" s="20" t="n">
        <v>3</v>
      </c>
      <c r="I26" s="20"/>
      <c r="J26" s="20"/>
      <c r="K26" s="20"/>
      <c r="L26" s="21" t="n">
        <f aca="false">SUM(G26:K26)</f>
        <v>9</v>
      </c>
      <c r="M26" s="22" t="n">
        <f aca="false">F26-L26</f>
        <v>10</v>
      </c>
    </row>
    <row r="27" customFormat="false" ht="15" hidden="false" customHeight="false" outlineLevel="0" collapsed="false">
      <c r="A27" s="14" t="s">
        <v>39</v>
      </c>
      <c r="B27" s="15" t="s">
        <v>37</v>
      </c>
      <c r="C27" s="16" t="n">
        <v>4</v>
      </c>
      <c r="D27" s="17"/>
      <c r="E27" s="17" t="n">
        <v>5</v>
      </c>
      <c r="F27" s="18" t="n">
        <f aca="false">SUM(C27:E27)</f>
        <v>9</v>
      </c>
      <c r="G27" s="19"/>
      <c r="H27" s="20" t="n">
        <v>4</v>
      </c>
      <c r="I27" s="20"/>
      <c r="J27" s="20"/>
      <c r="K27" s="20"/>
      <c r="L27" s="21" t="n">
        <f aca="false">SUM(G27:K27)</f>
        <v>4</v>
      </c>
      <c r="M27" s="22" t="n">
        <f aca="false">F27-L27</f>
        <v>5</v>
      </c>
    </row>
    <row r="28" customFormat="false" ht="15" hidden="false" customHeight="false" outlineLevel="0" collapsed="false">
      <c r="A28" s="14" t="s">
        <v>40</v>
      </c>
      <c r="B28" s="15" t="s">
        <v>37</v>
      </c>
      <c r="C28" s="16" t="n">
        <v>4</v>
      </c>
      <c r="D28" s="17" t="n">
        <v>3</v>
      </c>
      <c r="E28" s="17" t="n">
        <v>5</v>
      </c>
      <c r="F28" s="18" t="n">
        <f aca="false">SUM(C28:E28)</f>
        <v>12</v>
      </c>
      <c r="G28" s="19" t="n">
        <v>3</v>
      </c>
      <c r="H28" s="20" t="n">
        <v>4</v>
      </c>
      <c r="I28" s="20"/>
      <c r="J28" s="20"/>
      <c r="K28" s="20"/>
      <c r="L28" s="21" t="n">
        <f aca="false">SUM(G28:K28)</f>
        <v>7</v>
      </c>
      <c r="M28" s="22" t="n">
        <f aca="false">F28-L28</f>
        <v>5</v>
      </c>
    </row>
    <row r="29" customFormat="false" ht="15" hidden="false" customHeight="false" outlineLevel="0" collapsed="false">
      <c r="A29" s="14" t="s">
        <v>41</v>
      </c>
      <c r="B29" s="15" t="s">
        <v>37</v>
      </c>
      <c r="C29" s="16" t="n">
        <v>3</v>
      </c>
      <c r="D29" s="17" t="n">
        <v>3</v>
      </c>
      <c r="E29" s="17" t="n">
        <v>5</v>
      </c>
      <c r="F29" s="18" t="n">
        <f aca="false">SUM(C29:E29)</f>
        <v>11</v>
      </c>
      <c r="G29" s="19" t="n">
        <v>3</v>
      </c>
      <c r="H29" s="20" t="n">
        <v>3</v>
      </c>
      <c r="I29" s="20" t="n">
        <v>2</v>
      </c>
      <c r="J29" s="20"/>
      <c r="K29" s="20" t="n">
        <v>2</v>
      </c>
      <c r="L29" s="21" t="n">
        <f aca="false">SUM(G29:K29)</f>
        <v>10</v>
      </c>
      <c r="M29" s="22" t="n">
        <f aca="false">F29-L29</f>
        <v>1</v>
      </c>
    </row>
    <row r="30" customFormat="false" ht="15" hidden="false" customHeight="false" outlineLevel="0" collapsed="false">
      <c r="A30" s="14" t="s">
        <v>42</v>
      </c>
      <c r="B30" s="15" t="s">
        <v>37</v>
      </c>
      <c r="C30" s="16" t="n">
        <v>4</v>
      </c>
      <c r="D30" s="17" t="n">
        <v>8</v>
      </c>
      <c r="E30" s="17" t="n">
        <v>2</v>
      </c>
      <c r="F30" s="18" t="n">
        <f aca="false">SUM(C30:E30)</f>
        <v>14</v>
      </c>
      <c r="G30" s="19" t="n">
        <v>8</v>
      </c>
      <c r="H30" s="20" t="n">
        <v>4</v>
      </c>
      <c r="I30" s="20"/>
      <c r="J30" s="20"/>
      <c r="K30" s="20" t="n">
        <v>2</v>
      </c>
      <c r="L30" s="21" t="n">
        <f aca="false">SUM(G30:K30)</f>
        <v>14</v>
      </c>
      <c r="M30" s="23" t="n">
        <f aca="false">F30-L30</f>
        <v>0</v>
      </c>
    </row>
    <row r="31" customFormat="false" ht="15" hidden="false" customHeight="false" outlineLevel="0" collapsed="false">
      <c r="A31" s="14" t="s">
        <v>43</v>
      </c>
      <c r="B31" s="15" t="s">
        <v>37</v>
      </c>
      <c r="C31" s="16" t="n">
        <v>4</v>
      </c>
      <c r="D31" s="17" t="n">
        <v>5</v>
      </c>
      <c r="E31" s="17"/>
      <c r="F31" s="18" t="n">
        <f aca="false">SUM(C31:E31)</f>
        <v>9</v>
      </c>
      <c r="G31" s="19" t="n">
        <v>5</v>
      </c>
      <c r="H31" s="20" t="n">
        <v>4</v>
      </c>
      <c r="I31" s="20"/>
      <c r="J31" s="20"/>
      <c r="K31" s="20"/>
      <c r="L31" s="21" t="n">
        <f aca="false">SUM(G31:K31)</f>
        <v>9</v>
      </c>
      <c r="M31" s="23" t="n">
        <f aca="false">F31-L31</f>
        <v>0</v>
      </c>
    </row>
    <row r="32" customFormat="false" ht="15" hidden="false" customHeight="false" outlineLevel="0" collapsed="false">
      <c r="A32" s="14" t="s">
        <v>44</v>
      </c>
      <c r="B32" s="15" t="s">
        <v>37</v>
      </c>
      <c r="C32" s="16" t="n">
        <v>3</v>
      </c>
      <c r="D32" s="17"/>
      <c r="E32" s="17" t="n">
        <v>4</v>
      </c>
      <c r="F32" s="18" t="n">
        <f aca="false">SUM(C32:E32)</f>
        <v>7</v>
      </c>
      <c r="G32" s="19"/>
      <c r="H32" s="20" t="n">
        <v>3</v>
      </c>
      <c r="I32" s="20" t="n">
        <v>2</v>
      </c>
      <c r="J32" s="20"/>
      <c r="K32" s="20" t="n">
        <v>2</v>
      </c>
      <c r="L32" s="21" t="n">
        <f aca="false">SUM(G32:K32)</f>
        <v>7</v>
      </c>
      <c r="M32" s="23" t="n">
        <f aca="false">F32-L32</f>
        <v>0</v>
      </c>
    </row>
    <row r="33" customFormat="false" ht="15" hidden="false" customHeight="false" outlineLevel="0" collapsed="false">
      <c r="A33" s="14" t="s">
        <v>45</v>
      </c>
      <c r="B33" s="15" t="s">
        <v>37</v>
      </c>
      <c r="C33" s="16" t="n">
        <v>6</v>
      </c>
      <c r="D33" s="17"/>
      <c r="E33" s="17" t="n">
        <v>5</v>
      </c>
      <c r="F33" s="18" t="n">
        <f aca="false">SUM(C33:E33)</f>
        <v>11</v>
      </c>
      <c r="G33" s="19"/>
      <c r="H33" s="20" t="n">
        <v>6</v>
      </c>
      <c r="I33" s="20"/>
      <c r="J33" s="20"/>
      <c r="K33" s="20"/>
      <c r="L33" s="21" t="n">
        <f aca="false">SUM(G33:K33)</f>
        <v>6</v>
      </c>
      <c r="M33" s="22" t="n">
        <f aca="false">F33-L33</f>
        <v>5</v>
      </c>
    </row>
    <row r="34" customFormat="false" ht="6" hidden="false" customHeight="tru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customFormat="false" ht="15" hidden="false" customHeight="false" outlineLevel="0" collapsed="false">
      <c r="A35" s="14" t="s">
        <v>46</v>
      </c>
      <c r="B35" s="15" t="s">
        <v>47</v>
      </c>
      <c r="C35" s="16" t="n">
        <v>5</v>
      </c>
      <c r="D35" s="17"/>
      <c r="E35" s="17"/>
      <c r="F35" s="18" t="n">
        <f aca="false">SUM(C35:E35)</f>
        <v>5</v>
      </c>
      <c r="G35" s="19"/>
      <c r="H35" s="20" t="n">
        <v>5</v>
      </c>
      <c r="I35" s="20"/>
      <c r="J35" s="20"/>
      <c r="K35" s="20"/>
      <c r="L35" s="21" t="n">
        <f aca="false">SUM(G35:K35)</f>
        <v>5</v>
      </c>
      <c r="M35" s="23" t="n">
        <f aca="false">F35-L35</f>
        <v>0</v>
      </c>
    </row>
    <row r="36" customFormat="false" ht="15" hidden="false" customHeight="false" outlineLevel="0" collapsed="false">
      <c r="A36" s="14" t="s">
        <v>48</v>
      </c>
      <c r="B36" s="15" t="s">
        <v>47</v>
      </c>
      <c r="C36" s="16" t="n">
        <v>3</v>
      </c>
      <c r="D36" s="17"/>
      <c r="E36" s="17" t="n">
        <v>5</v>
      </c>
      <c r="F36" s="18" t="n">
        <f aca="false">SUM(C36:E36)</f>
        <v>8</v>
      </c>
      <c r="G36" s="19"/>
      <c r="H36" s="20" t="n">
        <v>3</v>
      </c>
      <c r="I36" s="20" t="n">
        <v>2</v>
      </c>
      <c r="J36" s="20"/>
      <c r="K36" s="20" t="n">
        <v>2</v>
      </c>
      <c r="L36" s="21" t="n">
        <f aca="false">SUM(G36:K36)</f>
        <v>7</v>
      </c>
      <c r="M36" s="22" t="n">
        <f aca="false">F36-L36</f>
        <v>1</v>
      </c>
    </row>
    <row r="37" customFormat="false" ht="6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customFormat="false" ht="15" hidden="false" customHeight="false" outlineLevel="0" collapsed="false">
      <c r="A38" s="14" t="s">
        <v>49</v>
      </c>
      <c r="B38" s="15" t="s">
        <v>50</v>
      </c>
      <c r="C38" s="16" t="n">
        <v>6</v>
      </c>
      <c r="D38" s="17"/>
      <c r="E38" s="17" t="n">
        <v>5</v>
      </c>
      <c r="F38" s="18" t="n">
        <f aca="false">SUM(C38:E38)</f>
        <v>11</v>
      </c>
      <c r="G38" s="19"/>
      <c r="H38" s="20" t="n">
        <v>6</v>
      </c>
      <c r="I38" s="20"/>
      <c r="J38" s="20"/>
      <c r="K38" s="20"/>
      <c r="L38" s="21" t="n">
        <f aca="false">SUM(G38:K38)</f>
        <v>6</v>
      </c>
      <c r="M38" s="22" t="n">
        <f aca="false">F38-L38</f>
        <v>5</v>
      </c>
    </row>
    <row r="39" customFormat="false" ht="6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customFormat="false" ht="15" hidden="false" customHeight="false" outlineLevel="0" collapsed="false">
      <c r="A40" s="14" t="s">
        <v>51</v>
      </c>
      <c r="B40" s="15" t="s">
        <v>52</v>
      </c>
      <c r="C40" s="16" t="n">
        <v>7</v>
      </c>
      <c r="D40" s="17"/>
      <c r="E40" s="17"/>
      <c r="F40" s="18" t="n">
        <f aca="false">SUM(C40:E40)</f>
        <v>7</v>
      </c>
      <c r="G40" s="19"/>
      <c r="H40" s="20" t="n">
        <v>7</v>
      </c>
      <c r="I40" s="20"/>
      <c r="J40" s="20"/>
      <c r="K40" s="20"/>
      <c r="L40" s="21" t="n">
        <f aca="false">SUM(G40:K40)</f>
        <v>7</v>
      </c>
      <c r="M40" s="23" t="n">
        <f aca="false">F40-L40</f>
        <v>0</v>
      </c>
    </row>
    <row r="41" customFormat="false" ht="6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customFormat="false" ht="15" hidden="false" customHeight="false" outlineLevel="0" collapsed="false">
      <c r="A42" s="14" t="s">
        <v>53</v>
      </c>
      <c r="B42" s="15" t="s">
        <v>54</v>
      </c>
      <c r="C42" s="16"/>
      <c r="D42" s="17"/>
      <c r="E42" s="17" t="n">
        <v>10</v>
      </c>
      <c r="F42" s="18" t="n">
        <f aca="false">SUM(C42:E42)</f>
        <v>10</v>
      </c>
      <c r="G42" s="19"/>
      <c r="H42" s="20"/>
      <c r="I42" s="20"/>
      <c r="J42" s="20"/>
      <c r="K42" s="20" t="n">
        <v>2</v>
      </c>
      <c r="L42" s="21" t="n">
        <f aca="false">SUM(G42:K42)</f>
        <v>2</v>
      </c>
      <c r="M42" s="22" t="n">
        <f aca="false">F42-L42</f>
        <v>8</v>
      </c>
    </row>
    <row r="43" customFormat="false" ht="15" hidden="false" customHeight="false" outlineLevel="0" collapsed="false">
      <c r="A43" s="14" t="s">
        <v>55</v>
      </c>
      <c r="B43" s="15" t="s">
        <v>54</v>
      </c>
      <c r="C43" s="16" t="n">
        <v>7</v>
      </c>
      <c r="D43" s="17" t="n">
        <v>8</v>
      </c>
      <c r="E43" s="17"/>
      <c r="F43" s="18" t="n">
        <f aca="false">SUM(C43:E43)</f>
        <v>15</v>
      </c>
      <c r="G43" s="19" t="n">
        <v>8</v>
      </c>
      <c r="H43" s="20" t="n">
        <v>7</v>
      </c>
      <c r="I43" s="20"/>
      <c r="J43" s="20"/>
      <c r="K43" s="20"/>
      <c r="L43" s="21" t="n">
        <f aca="false">SUM(G43:K43)</f>
        <v>15</v>
      </c>
      <c r="M43" s="23" t="n">
        <f aca="false">F43-L43</f>
        <v>0</v>
      </c>
    </row>
    <row r="44" customFormat="false" ht="6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customFormat="false" ht="15" hidden="false" customHeight="false" outlineLevel="0" collapsed="false">
      <c r="A45" s="14" t="s">
        <v>56</v>
      </c>
      <c r="B45" s="15" t="s">
        <v>57</v>
      </c>
      <c r="C45" s="16"/>
      <c r="D45" s="17"/>
      <c r="E45" s="17" t="n">
        <v>3</v>
      </c>
      <c r="F45" s="18" t="n">
        <f aca="false">SUM(C45:E45)</f>
        <v>3</v>
      </c>
      <c r="G45" s="19"/>
      <c r="H45" s="20"/>
      <c r="I45" s="20"/>
      <c r="J45" s="20"/>
      <c r="K45" s="20"/>
      <c r="L45" s="21" t="n">
        <f aca="false">SUM(G45:K45)</f>
        <v>0</v>
      </c>
      <c r="M45" s="22" t="n">
        <f aca="false">F45-L45</f>
        <v>3</v>
      </c>
    </row>
    <row r="46" customFormat="false" ht="15" hidden="false" customHeight="false" outlineLevel="0" collapsed="false">
      <c r="A46" s="14" t="s">
        <v>58</v>
      </c>
      <c r="B46" s="15" t="s">
        <v>57</v>
      </c>
      <c r="C46" s="16"/>
      <c r="D46" s="17"/>
      <c r="E46" s="17" t="n">
        <v>5</v>
      </c>
      <c r="F46" s="18" t="n">
        <f aca="false">SUM(C46:E46)</f>
        <v>5</v>
      </c>
      <c r="G46" s="19"/>
      <c r="H46" s="20"/>
      <c r="I46" s="20"/>
      <c r="J46" s="20" t="n">
        <v>5</v>
      </c>
      <c r="K46" s="20"/>
      <c r="L46" s="21" t="n">
        <f aca="false">SUM(G46:K46)</f>
        <v>5</v>
      </c>
      <c r="M46" s="23" t="n">
        <f aca="false">F46-L46</f>
        <v>0</v>
      </c>
    </row>
    <row r="47" customFormat="false" ht="6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customFormat="false" ht="15" hidden="false" customHeight="false" outlineLevel="0" collapsed="false">
      <c r="A48" s="14" t="s">
        <v>59</v>
      </c>
      <c r="B48" s="32" t="s">
        <v>60</v>
      </c>
      <c r="C48" s="16" t="n">
        <v>2</v>
      </c>
      <c r="D48" s="17"/>
      <c r="E48" s="17"/>
      <c r="F48" s="18" t="n">
        <f aca="false">SUM(C48:E48)</f>
        <v>2</v>
      </c>
      <c r="G48" s="19"/>
      <c r="H48" s="20" t="n">
        <v>2</v>
      </c>
      <c r="I48" s="20"/>
      <c r="J48" s="20"/>
      <c r="K48" s="20"/>
      <c r="L48" s="21" t="n">
        <f aca="false">SUM(G48:K48)</f>
        <v>2</v>
      </c>
      <c r="M48" s="23" t="n">
        <f aca="false">F48-L48</f>
        <v>0</v>
      </c>
    </row>
    <row r="49" customFormat="false" ht="15" hidden="false" customHeight="false" outlineLevel="0" collapsed="false">
      <c r="A49" s="14" t="s">
        <v>61</v>
      </c>
      <c r="B49" s="32" t="s">
        <v>60</v>
      </c>
      <c r="C49" s="16" t="n">
        <v>2</v>
      </c>
      <c r="D49" s="17"/>
      <c r="E49" s="17"/>
      <c r="F49" s="18" t="n">
        <f aca="false">SUM(C49:E49)</f>
        <v>2</v>
      </c>
      <c r="G49" s="19"/>
      <c r="H49" s="20" t="n">
        <v>2</v>
      </c>
      <c r="I49" s="20"/>
      <c r="J49" s="20"/>
      <c r="K49" s="20"/>
      <c r="L49" s="21" t="n">
        <f aca="false">SUM(G49:K49)</f>
        <v>2</v>
      </c>
      <c r="M49" s="23" t="n">
        <f aca="false">F49-L49</f>
        <v>0</v>
      </c>
    </row>
    <row r="50" customFormat="false" ht="15" hidden="false" customHeight="false" outlineLevel="0" collapsed="false">
      <c r="A50" s="14" t="s">
        <v>62</v>
      </c>
      <c r="B50" s="32" t="s">
        <v>60</v>
      </c>
      <c r="C50" s="16" t="n">
        <v>3</v>
      </c>
      <c r="D50" s="17"/>
      <c r="E50" s="17"/>
      <c r="F50" s="18" t="n">
        <f aca="false">SUM(C50:E50)</f>
        <v>3</v>
      </c>
      <c r="G50" s="19"/>
      <c r="H50" s="20" t="n">
        <v>3</v>
      </c>
      <c r="I50" s="20"/>
      <c r="J50" s="20"/>
      <c r="K50" s="20"/>
      <c r="L50" s="21" t="n">
        <f aca="false">SUM(G50:K50)</f>
        <v>3</v>
      </c>
      <c r="M50" s="23" t="n">
        <f aca="false">F50-L50</f>
        <v>0</v>
      </c>
    </row>
    <row r="51" customFormat="false" ht="15" hidden="false" customHeight="false" outlineLevel="0" collapsed="false">
      <c r="A51" s="14" t="s">
        <v>63</v>
      </c>
      <c r="B51" s="32" t="s">
        <v>60</v>
      </c>
      <c r="C51" s="16" t="n">
        <v>3</v>
      </c>
      <c r="D51" s="17"/>
      <c r="E51" s="17"/>
      <c r="F51" s="18" t="n">
        <f aca="false">SUM(C51:E51)</f>
        <v>3</v>
      </c>
      <c r="G51" s="19"/>
      <c r="H51" s="20" t="n">
        <v>3</v>
      </c>
      <c r="I51" s="20"/>
      <c r="J51" s="20"/>
      <c r="K51" s="20"/>
      <c r="L51" s="21" t="n">
        <f aca="false">SUM(G51:K51)</f>
        <v>3</v>
      </c>
      <c r="M51" s="23" t="n">
        <f aca="false">F51-L51</f>
        <v>0</v>
      </c>
    </row>
    <row r="52" customFormat="false" ht="15" hidden="false" customHeight="false" outlineLevel="0" collapsed="false">
      <c r="A52" s="14" t="s">
        <v>64</v>
      </c>
      <c r="B52" s="32" t="s">
        <v>60</v>
      </c>
      <c r="C52" s="16" t="n">
        <v>3</v>
      </c>
      <c r="D52" s="17"/>
      <c r="E52" s="17"/>
      <c r="F52" s="18" t="n">
        <f aca="false">SUM(C52:E52)</f>
        <v>3</v>
      </c>
      <c r="G52" s="19"/>
      <c r="H52" s="20" t="n">
        <v>3</v>
      </c>
      <c r="I52" s="20"/>
      <c r="J52" s="20"/>
      <c r="K52" s="20"/>
      <c r="L52" s="21" t="n">
        <f aca="false">SUM(G52:K52)</f>
        <v>3</v>
      </c>
      <c r="M52" s="23" t="n">
        <f aca="false">F52-L52</f>
        <v>0</v>
      </c>
    </row>
    <row r="53" customFormat="false" ht="15" hidden="false" customHeight="false" outlineLevel="0" collapsed="false">
      <c r="A53" s="14" t="s">
        <v>65</v>
      </c>
      <c r="B53" s="32" t="s">
        <v>60</v>
      </c>
      <c r="C53" s="16" t="n">
        <v>3</v>
      </c>
      <c r="D53" s="17"/>
      <c r="E53" s="17"/>
      <c r="F53" s="18" t="n">
        <f aca="false">SUM(C53:E53)</f>
        <v>3</v>
      </c>
      <c r="G53" s="19"/>
      <c r="H53" s="20" t="n">
        <v>3</v>
      </c>
      <c r="I53" s="20"/>
      <c r="J53" s="20"/>
      <c r="K53" s="20"/>
      <c r="L53" s="21" t="n">
        <f aca="false">SUM(G53:K53)</f>
        <v>3</v>
      </c>
      <c r="M53" s="23" t="n">
        <f aca="false">F53-L53</f>
        <v>0</v>
      </c>
    </row>
    <row r="54" customFormat="false" ht="6" hidden="false" customHeight="tru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customFormat="false" ht="15" hidden="false" customHeight="false" outlineLevel="0" collapsed="false">
      <c r="A55" s="14" t="s">
        <v>66</v>
      </c>
      <c r="B55" s="32" t="s">
        <v>67</v>
      </c>
      <c r="C55" s="16" t="n">
        <v>2</v>
      </c>
      <c r="D55" s="17"/>
      <c r="E55" s="17"/>
      <c r="F55" s="18" t="n">
        <f aca="false">SUM(C55:E55)</f>
        <v>2</v>
      </c>
      <c r="G55" s="19"/>
      <c r="H55" s="20" t="n">
        <v>2</v>
      </c>
      <c r="I55" s="20"/>
      <c r="J55" s="20"/>
      <c r="K55" s="20"/>
      <c r="L55" s="21" t="n">
        <f aca="false">SUM(G55:K55)</f>
        <v>2</v>
      </c>
      <c r="M55" s="23" t="n">
        <f aca="false">F55-L55</f>
        <v>0</v>
      </c>
    </row>
    <row r="56" customFormat="false" ht="15" hidden="false" customHeight="false" outlineLevel="0" collapsed="false">
      <c r="A56" s="14" t="s">
        <v>68</v>
      </c>
      <c r="B56" s="32" t="s">
        <v>67</v>
      </c>
      <c r="C56" s="16" t="n">
        <v>3</v>
      </c>
      <c r="D56" s="17"/>
      <c r="E56" s="17"/>
      <c r="F56" s="18" t="n">
        <f aca="false">SUM(C56:E56)</f>
        <v>3</v>
      </c>
      <c r="G56" s="19"/>
      <c r="H56" s="20" t="n">
        <v>3</v>
      </c>
      <c r="I56" s="20"/>
      <c r="J56" s="20"/>
      <c r="K56" s="20"/>
      <c r="L56" s="21" t="n">
        <f aca="false">SUM(G56:K56)</f>
        <v>3</v>
      </c>
      <c r="M56" s="23" t="n">
        <f aca="false">F56-L56</f>
        <v>0</v>
      </c>
    </row>
    <row r="57" customFormat="false" ht="15" hidden="false" customHeight="false" outlineLevel="0" collapsed="false">
      <c r="A57" s="14" t="s">
        <v>69</v>
      </c>
      <c r="B57" s="32" t="s">
        <v>67</v>
      </c>
      <c r="C57" s="16" t="n">
        <v>3</v>
      </c>
      <c r="D57" s="17"/>
      <c r="E57" s="17"/>
      <c r="F57" s="18" t="n">
        <f aca="false">SUM(C57:E57)</f>
        <v>3</v>
      </c>
      <c r="G57" s="19"/>
      <c r="H57" s="20" t="n">
        <v>3</v>
      </c>
      <c r="I57" s="20"/>
      <c r="J57" s="20"/>
      <c r="K57" s="20"/>
      <c r="L57" s="21" t="n">
        <f aca="false">SUM(G57:K57)</f>
        <v>3</v>
      </c>
      <c r="M57" s="23" t="n">
        <f aca="false">F57-L57</f>
        <v>0</v>
      </c>
    </row>
    <row r="58" customFormat="false" ht="6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customFormat="false" ht="15" hidden="false" customHeight="false" outlineLevel="0" collapsed="false">
      <c r="A59" s="14" t="s">
        <v>70</v>
      </c>
      <c r="B59" s="32" t="s">
        <v>71</v>
      </c>
      <c r="C59" s="16" t="n">
        <v>3</v>
      </c>
      <c r="D59" s="17"/>
      <c r="E59" s="17"/>
      <c r="F59" s="18" t="n">
        <f aca="false">SUM(C59:E59)</f>
        <v>3</v>
      </c>
      <c r="G59" s="19"/>
      <c r="H59" s="20" t="n">
        <v>3</v>
      </c>
      <c r="I59" s="20"/>
      <c r="J59" s="20"/>
      <c r="K59" s="20"/>
      <c r="L59" s="21" t="n">
        <f aca="false">SUM(G59:K59)</f>
        <v>3</v>
      </c>
      <c r="M59" s="23" t="n">
        <f aca="false">F59-L59</f>
        <v>0</v>
      </c>
    </row>
    <row r="60" customFormat="false" ht="6" hidden="false" customHeight="tru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customFormat="false" ht="15" hidden="false" customHeight="false" outlineLevel="0" collapsed="false">
      <c r="A61" s="14" t="s">
        <v>72</v>
      </c>
      <c r="B61" s="32" t="s">
        <v>73</v>
      </c>
      <c r="C61" s="16" t="n">
        <v>4</v>
      </c>
      <c r="D61" s="17" t="n">
        <v>7</v>
      </c>
      <c r="E61" s="17"/>
      <c r="F61" s="18" t="n">
        <f aca="false">SUM(C61:E61)</f>
        <v>11</v>
      </c>
      <c r="G61" s="19" t="n">
        <v>7</v>
      </c>
      <c r="H61" s="20" t="n">
        <v>4</v>
      </c>
      <c r="I61" s="20"/>
      <c r="J61" s="20"/>
      <c r="K61" s="20"/>
      <c r="L61" s="21" t="n">
        <f aca="false">SUM(G61:K61)</f>
        <v>11</v>
      </c>
      <c r="M61" s="23" t="n">
        <f aca="false">F61-L61</f>
        <v>0</v>
      </c>
    </row>
    <row r="62" customFormat="false" ht="15" hidden="false" customHeight="false" outlineLevel="0" collapsed="false">
      <c r="A62" s="33" t="s">
        <v>74</v>
      </c>
      <c r="B62" s="34"/>
      <c r="C62" s="34" t="n">
        <f aca="false">SUM(C7:C61)</f>
        <v>147</v>
      </c>
      <c r="D62" s="34" t="n">
        <f aca="false">SUM(D7:D61)</f>
        <v>157</v>
      </c>
      <c r="E62" s="34" t="n">
        <f aca="false">SUM(E7:E61)</f>
        <v>132</v>
      </c>
      <c r="F62" s="34" t="n">
        <f aca="false">SUM(F7:F61)</f>
        <v>436</v>
      </c>
      <c r="G62" s="34" t="n">
        <f aca="false">SUM(G7:G61)</f>
        <v>157</v>
      </c>
      <c r="H62" s="34" t="n">
        <f aca="false">SUM(H7:H61)</f>
        <v>147</v>
      </c>
      <c r="I62" s="34" t="n">
        <f aca="false">SUM(I7:I61)</f>
        <v>20</v>
      </c>
      <c r="J62" s="34" t="n">
        <f aca="false">SUM(J7:J61)</f>
        <v>5</v>
      </c>
      <c r="K62" s="34" t="n">
        <f aca="false">SUM(K7:K61)</f>
        <v>27</v>
      </c>
      <c r="L62" s="34" t="n">
        <f aca="false">SUM(L7:L61)</f>
        <v>356</v>
      </c>
      <c r="M62" s="34" t="n">
        <f aca="false">SUM(M7:M61)</f>
        <v>80</v>
      </c>
    </row>
    <row r="65" customFormat="false" ht="15" hidden="false" customHeight="false" outlineLevel="0" collapsed="false">
      <c r="A65" s="35" t="s">
        <v>75</v>
      </c>
    </row>
    <row r="66" customFormat="false" ht="15" hidden="false" customHeight="false" outlineLevel="0" collapsed="false">
      <c r="A66" s="36"/>
      <c r="B66" s="37" t="s">
        <v>76</v>
      </c>
      <c r="E66" s="38" t="n">
        <f aca="false">C62</f>
        <v>147</v>
      </c>
    </row>
    <row r="67" customFormat="false" ht="15" hidden="false" customHeight="false" outlineLevel="0" collapsed="false">
      <c r="A67" s="36"/>
      <c r="B67" s="37" t="s">
        <v>77</v>
      </c>
      <c r="E67" s="38" t="n">
        <f aca="false">D62</f>
        <v>157</v>
      </c>
    </row>
    <row r="68" customFormat="false" ht="15" hidden="false" customHeight="false" outlineLevel="0" collapsed="false">
      <c r="A68" s="36"/>
      <c r="B68" s="37" t="s">
        <v>78</v>
      </c>
      <c r="E68" s="38" t="n">
        <f aca="false">E62</f>
        <v>132</v>
      </c>
    </row>
    <row r="69" customFormat="false" ht="15" hidden="false" customHeight="false" outlineLevel="0" collapsed="false">
      <c r="A69" s="39"/>
      <c r="B69" s="40" t="s">
        <v>79</v>
      </c>
      <c r="E69" s="41" t="n">
        <f aca="false">F62</f>
        <v>436</v>
      </c>
    </row>
    <row r="71" customFormat="false" ht="15" hidden="false" customHeight="false" outlineLevel="0" collapsed="false">
      <c r="A71" s="42"/>
      <c r="B71" s="37" t="s">
        <v>80</v>
      </c>
      <c r="E71" s="38" t="n">
        <f aca="false">G62</f>
        <v>157</v>
      </c>
    </row>
    <row r="72" customFormat="false" ht="15" hidden="false" customHeight="false" outlineLevel="0" collapsed="false">
      <c r="A72" s="42"/>
      <c r="B72" s="37" t="s">
        <v>81</v>
      </c>
      <c r="E72" s="38" t="n">
        <f aca="false">H62</f>
        <v>147</v>
      </c>
    </row>
    <row r="73" customFormat="false" ht="15" hidden="false" customHeight="false" outlineLevel="0" collapsed="false">
      <c r="A73" s="42"/>
      <c r="B73" s="37" t="s">
        <v>82</v>
      </c>
      <c r="E73" s="38" t="n">
        <f aca="false">I62</f>
        <v>20</v>
      </c>
    </row>
    <row r="74" customFormat="false" ht="15" hidden="false" customHeight="false" outlineLevel="0" collapsed="false">
      <c r="A74" s="42"/>
      <c r="B74" s="37" t="s">
        <v>83</v>
      </c>
      <c r="E74" s="38" t="n">
        <f aca="false">J62</f>
        <v>5</v>
      </c>
    </row>
    <row r="75" customFormat="false" ht="15" hidden="false" customHeight="false" outlineLevel="0" collapsed="false">
      <c r="A75" s="42"/>
      <c r="B75" s="37" t="s">
        <v>84</v>
      </c>
      <c r="E75" s="38" t="n">
        <f aca="false">K62</f>
        <v>27</v>
      </c>
    </row>
    <row r="76" customFormat="false" ht="15" hidden="false" customHeight="false" outlineLevel="0" collapsed="false">
      <c r="A76" s="43"/>
      <c r="B76" s="40" t="s">
        <v>85</v>
      </c>
      <c r="E76" s="44" t="n">
        <f aca="false">L62</f>
        <v>356</v>
      </c>
    </row>
    <row r="78" customFormat="false" ht="15" hidden="false" customHeight="false" outlineLevel="0" collapsed="false">
      <c r="A78" s="45"/>
      <c r="B78" s="40" t="s">
        <v>86</v>
      </c>
      <c r="E78" s="46" t="n">
        <f aca="false">M62</f>
        <v>80</v>
      </c>
    </row>
    <row r="81" customFormat="false" ht="15" hidden="false" customHeight="false" outlineLevel="0" collapsed="false">
      <c r="A81" s="40" t="s">
        <v>87</v>
      </c>
    </row>
    <row r="82" customFormat="false" ht="15" hidden="false" customHeight="false" outlineLevel="0" collapsed="false">
      <c r="A82" s="47" t="s">
        <v>88</v>
      </c>
    </row>
    <row r="83" customFormat="false" ht="15" hidden="false" customHeight="false" outlineLevel="0" collapsed="false">
      <c r="A83" s="47" t="s">
        <v>89</v>
      </c>
    </row>
    <row r="84" customFormat="false" ht="15" hidden="false" customHeight="false" outlineLevel="0" collapsed="false">
      <c r="A84" s="47" t="s">
        <v>90</v>
      </c>
    </row>
    <row r="85" customFormat="false" ht="15" hidden="false" customHeight="false" outlineLevel="0" collapsed="false">
      <c r="A85" s="47" t="s">
        <v>91</v>
      </c>
    </row>
    <row r="86" customFormat="false" ht="15" hidden="false" customHeight="false" outlineLevel="0" collapsed="false">
      <c r="A86" s="47" t="s">
        <v>92</v>
      </c>
    </row>
    <row r="87" customFormat="false" ht="15" hidden="false" customHeight="false" outlineLevel="0" collapsed="false">
      <c r="A87" s="47" t="s">
        <v>93</v>
      </c>
    </row>
    <row r="88" customFormat="false" ht="15" hidden="false" customHeight="false" outlineLevel="0" collapsed="false">
      <c r="A88" s="47" t="s">
        <v>94</v>
      </c>
    </row>
    <row r="89" customFormat="false" ht="15" hidden="false" customHeight="false" outlineLevel="0" collapsed="false">
      <c r="A89" s="47" t="s">
        <v>95</v>
      </c>
    </row>
    <row r="90" customFormat="false" ht="15" hidden="false" customHeight="false" outlineLevel="0" collapsed="false">
      <c r="A90" s="47" t="s">
        <v>96</v>
      </c>
    </row>
  </sheetData>
  <autoFilter ref="A6:M61"/>
  <mergeCells count="2">
    <mergeCell ref="C5:F5"/>
    <mergeCell ref="G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48" t="s">
        <v>97</v>
      </c>
    </row>
    <row r="3" customFormat="false" ht="15" hidden="false" customHeight="false" outlineLevel="0" collapsed="false">
      <c r="A3" s="49" t="s">
        <v>98</v>
      </c>
      <c r="B3" s="49" t="s">
        <v>99</v>
      </c>
      <c r="C3" s="49" t="s">
        <v>100</v>
      </c>
      <c r="D3" s="49" t="s">
        <v>101</v>
      </c>
      <c r="E3" s="49" t="s">
        <v>102</v>
      </c>
      <c r="F3" s="49" t="s">
        <v>103</v>
      </c>
    </row>
    <row r="4" customFormat="false" ht="15" hidden="false" customHeight="false" outlineLevel="0" collapsed="false">
      <c r="A4" s="50" t="s">
        <v>104</v>
      </c>
      <c r="B4" s="51" t="s">
        <v>105</v>
      </c>
      <c r="C4" s="52" t="s">
        <v>106</v>
      </c>
      <c r="D4" s="53" t="s">
        <v>107</v>
      </c>
      <c r="E4" s="54" t="n">
        <v>147</v>
      </c>
      <c r="F4" s="55" t="s">
        <v>108</v>
      </c>
    </row>
    <row r="5" customFormat="false" ht="15" hidden="false" customHeight="false" outlineLevel="0" collapsed="false">
      <c r="A5" s="50" t="s">
        <v>104</v>
      </c>
      <c r="B5" s="51" t="s">
        <v>105</v>
      </c>
      <c r="C5" s="52" t="s">
        <v>109</v>
      </c>
      <c r="D5" s="53" t="s">
        <v>110</v>
      </c>
      <c r="E5" s="54" t="n">
        <v>157</v>
      </c>
      <c r="F5" s="55" t="s">
        <v>111</v>
      </c>
    </row>
    <row r="6" customFormat="false" ht="15" hidden="false" customHeight="false" outlineLevel="0" collapsed="false">
      <c r="A6" s="50" t="s">
        <v>104</v>
      </c>
      <c r="B6" s="51" t="s">
        <v>105</v>
      </c>
      <c r="C6" s="52" t="s">
        <v>112</v>
      </c>
      <c r="D6" s="53" t="s">
        <v>113</v>
      </c>
      <c r="E6" s="54" t="n">
        <v>132</v>
      </c>
      <c r="F6" s="55" t="s">
        <v>114</v>
      </c>
    </row>
    <row r="7" customFormat="false" ht="15" hidden="false" customHeight="false" outlineLevel="0" collapsed="false">
      <c r="A7" s="56" t="s">
        <v>115</v>
      </c>
      <c r="B7" s="57" t="s">
        <v>116</v>
      </c>
      <c r="C7" s="58" t="s">
        <v>106</v>
      </c>
      <c r="D7" s="59" t="s">
        <v>107</v>
      </c>
      <c r="E7" s="60" t="n">
        <v>147</v>
      </c>
      <c r="F7" s="61" t="s">
        <v>117</v>
      </c>
    </row>
    <row r="8" customFormat="false" ht="15" hidden="false" customHeight="false" outlineLevel="0" collapsed="false">
      <c r="A8" s="56" t="s">
        <v>115</v>
      </c>
      <c r="B8" s="57" t="s">
        <v>118</v>
      </c>
      <c r="C8" s="58" t="s">
        <v>109</v>
      </c>
      <c r="D8" s="59" t="s">
        <v>110</v>
      </c>
      <c r="E8" s="60" t="n">
        <v>157</v>
      </c>
      <c r="F8" s="61" t="s">
        <v>119</v>
      </c>
    </row>
    <row r="9" customFormat="false" ht="15" hidden="false" customHeight="false" outlineLevel="0" collapsed="false">
      <c r="A9" s="56" t="s">
        <v>115</v>
      </c>
      <c r="B9" s="57" t="s">
        <v>120</v>
      </c>
      <c r="C9" s="58" t="s">
        <v>121</v>
      </c>
      <c r="D9" s="59" t="s">
        <v>122</v>
      </c>
      <c r="E9" s="60" t="n">
        <v>27</v>
      </c>
      <c r="F9" s="62" t="s">
        <v>123</v>
      </c>
    </row>
    <row r="10" customFormat="false" ht="15" hidden="false" customHeight="false" outlineLevel="0" collapsed="false">
      <c r="A10" s="56" t="s">
        <v>115</v>
      </c>
      <c r="B10" s="57" t="s">
        <v>124</v>
      </c>
      <c r="C10" s="58" t="s">
        <v>125</v>
      </c>
      <c r="D10" s="59" t="s">
        <v>126</v>
      </c>
      <c r="E10" s="60" t="n">
        <v>20</v>
      </c>
      <c r="F10" s="62" t="s">
        <v>127</v>
      </c>
    </row>
    <row r="11" customFormat="false" ht="15" hidden="false" customHeight="false" outlineLevel="0" collapsed="false">
      <c r="A11" s="56" t="s">
        <v>115</v>
      </c>
      <c r="B11" s="57" t="s">
        <v>128</v>
      </c>
      <c r="C11" s="58" t="s">
        <v>129</v>
      </c>
      <c r="D11" s="59" t="s">
        <v>130</v>
      </c>
      <c r="E11" s="60" t="n">
        <v>5</v>
      </c>
      <c r="F11" s="62" t="s">
        <v>131</v>
      </c>
    </row>
    <row r="13" customFormat="false" ht="15" hidden="false" customHeight="false" outlineLevel="0" collapsed="false">
      <c r="B13" s="6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2026-09-28T14:45:45Z</dcterms:created>
  <dc:creator>openpyxl</dc:creator>
  <dc:description/>
  <dc:language>en-US</dc:language>
  <cp:lastModifiedBy/>
  <dcterms:modified xsi:type="dcterms:W3CDTF">2026-09-28T14:45:45Z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